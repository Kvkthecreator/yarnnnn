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Revenue Projections" sheetId="2" state="visible" r:id="rId4"/>
    <sheet name="Burn &amp; Runway" sheetId="3" state="visible" r:id="rId5"/>
    <sheet name="TAM SAM SOM" sheetId="4" state="visible" r:id="rId6"/>
    <sheet name="Operating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<sst xmlns="http://schemas.openxmlformats.org/spreadsheetml/2006/main" count="329" uniqueCount="274">
  <si>
    <t xml:space="preserve">YARNNN — Unit Economics Model</t>
  </si>
  <si>
    <t xml:space="preserve">Per-User Cost Breakdown (Monthly)</t>
  </si>
  <si>
    <t xml:space="preserve">Free</t>
  </si>
  <si>
    <t xml:space="preserve">Starter ($9)</t>
  </si>
  <si>
    <t xml:space="preserve">Pro ($19)</t>
  </si>
  <si>
    <t xml:space="preserve">Platform sync cost</t>
  </si>
  <si>
    <t xml:space="preserve">LLM cost (TP conversations)</t>
  </si>
  <si>
    <t xml:space="preserve">Vector storage/compute</t>
  </si>
  <si>
    <t xml:space="preserve">Infrastructure (allocated)</t>
  </si>
  <si>
    <t xml:space="preserve">Total COGS per user</t>
  </si>
  <si>
    <t xml:space="preserve">Revenue per user</t>
  </si>
  <si>
    <t xml:space="preserve">Gross profit per user</t>
  </si>
  <si>
    <t xml:space="preserve">Gross margin %</t>
  </si>
  <si>
    <t xml:space="preserve">Sources &amp; Assumptions:</t>
  </si>
  <si>
    <t xml:space="preserve">Sync cost: ADR-053 (~$0.003/user/day base, scales with frequency)</t>
  </si>
  <si>
    <t xml:space="preserve">LLM cost: Claude API pricing, avg tokens per conversation/deliverable</t>
  </si>
  <si>
    <t xml:space="preserve">Vector storage: pgvector on Supabase, estimated per-user allocation</t>
  </si>
  <si>
    <t xml:space="preserve">Infrastructure: Render services allocated across user base</t>
  </si>
  <si>
    <t xml:space="preserve">Blended Unit Economics (by tier mix)</t>
  </si>
  <si>
    <t xml:space="preserve">Assumed tier mix:</t>
  </si>
  <si>
    <t xml:space="preserve">Free %</t>
  </si>
  <si>
    <t xml:space="preserve">Starter %</t>
  </si>
  <si>
    <t xml:space="preserve">Pro %</t>
  </si>
  <si>
    <t xml:space="preserve">Blended ARPU</t>
  </si>
  <si>
    <t xml:space="preserve">Blended COGS per user</t>
  </si>
  <si>
    <t xml:space="preserve">Blended gross margin</t>
  </si>
  <si>
    <t xml:space="preserve">YARNNN — 3-Year Revenue Projections</t>
  </si>
  <si>
    <t xml:space="preserve">User Growth</t>
  </si>
  <si>
    <t xml:space="preserve">Metric</t>
  </si>
  <si>
    <t xml:space="preserve">Q1'26</t>
  </si>
  <si>
    <t xml:space="preserve">Q2'26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</si>
  <si>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</si>
  <si>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</si>
  <si>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</si>
  <si>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</si>
  <si>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</si>
  <si>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</si>
  <si>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Q1'28</t>
  </si>
  <si>
    <t xml:space="preserve">Q2'28</t>
  </si>
  <si>
    <t xml:space="preserve">Q3'28</t>
  </si>
  <si>
    <t xml:space="preserve">Q4'28</t>
  </si>
  <si>
    <t xml:space="preserve">FY2026</t>
  </si>
  <si>
    <t xml:space="preserve">FY2027</t>
  </si>
  <si>
    <t xml:space="preserve">FY2028</t>
  </si>
  <si>
    <t xml:space="preserve">New signups (quarterly)</t>
  </si>
  <si>
    <t xml:space="preserve">Monthly churn rate</t>
  </si>
  <si>
    <t xml:space="preserve">Churned users (quarterly)</t>
  </si>
  <si>
    <t xml:space="preserve">Total active users (EoQ)</t>
  </si>
  <si>
    <t xml:space="preserve">Revenue ($)</t>
  </si>
  <si>
    <t xml:space="preserve">Paying users (Starter+Pro)</t>
  </si>
  <si>
    <t xml:space="preserve">MRR (monthly recurring)</t>
  </si>
  <si>
    <t xml:space="preserve">Quarterly revenue</t>
  </si>
  <si>
    <t xml:space="preserve">ARR (annualized from EoQ MRR)</t>
  </si>
  <si>
    <t xml:space="preserve">COGS &amp; Gross Profit</t>
  </si>
  <si>
    <t xml:space="preserve">Total COGS (quarterly)</t>
  </si>
  <si>
    <t xml:space="preserve">Gross profit (quarterly)</t>
  </si>
  <si>
    <t xml:space="preserve">YARNNN — Burn Rate &amp; Runway Model</t>
  </si>
  <si>
    <t xml:space="preserve">Funding Assumptions</t>
  </si>
  <si>
    <t xml:space="preserve">Seed raise amount</t>
  </si>
  <si>
    <t xml:space="preserve">Pre-money valuation</t>
  </si>
  <si>
    <t xml:space="preserve">Dilution %</t>
  </si>
  <si>
    <t xml:space="preserve">Monthly Operating Expenses</t>
  </si>
  <si>
    <t xml:space="preserve">Expense Category</t>
  </si>
  <si>
    <t xml:space="preserve">Founder salary (monthly)</t>
  </si>
  <si>
    <t xml:space="preserve">Tech Lead (monthly)</t>
  </si>
  <si>
    <t xml:space="preserve">GTM Lead (monthly)</t>
  </si>
  <si>
    <t xml:space="preserve">Infrastructure (Render, Supabase, APIs)</t>
  </si>
  <si>
    <t xml:space="preserve">Other (legal, tools, misc)</t>
  </si>
  <si>
    <t xml:space="preserve">Quarterly OpEx (salaries * 3 + infra*3 + other*3)</t>
  </si>
  <si>
    <t xml:space="preserve">Cash Flow</t>
  </si>
  <si>
    <t xml:space="preserve">Revenue (from projections)</t>
  </si>
  <si>
    <t xml:space="preserve">COGS (from projections)</t>
  </si>
  <si>
    <t xml:space="preserve">Total spend (OpEx + COGS)</t>
  </si>
  <si>
    <t xml:space="preserve">Net burn (quarterly)</t>
  </si>
  <si>
    <t xml:space="preserve">Cash balance (EoQ)</t>
  </si>
  <si>
    <t xml:space="preserve">Months runway remaining</t>
  </si>
  <si>
    <t xml:space="preserve">YARNNN — Market Sizing Sources</t>
  </si>
  <si>
    <t xml:space="preserve">TAM: AI Productivity Tools</t>
  </si>
  <si>
    <t xml:space="preserve">Value</t>
  </si>
  <si>
    <t xml:space="preserve">Source</t>
  </si>
  <si>
    <t xml:space="preserve">Date</t>
  </si>
  <si>
    <t xml:space="preserve">AI productivity market size</t>
  </si>
  <si>
    <t xml:space="preserve">$4.35B</t>
  </si>
  <si>
    <t xml:space="preserve">Grand View Research — AI in workplace productivity</t>
  </si>
  <si>
    <t xml:space="preserve">2025</t>
  </si>
  <si>
    <t xml:space="preserve">Market CAGR</t>
  </si>
  <si>
    <t xml:space="preserve">31%</t>
  </si>
  <si>
    <t xml:space="preserve">Grand View Research</t>
  </si>
  <si>
    <t xml:space="preserve">2025-2030</t>
  </si>
  <si>
    <t xml:space="preserve">Projected 2030 market</t>
  </si>
  <si>
    <t xml:space="preserve">$21.5B</t>
  </si>
  <si>
    <t xml:space="preserve">2030 est.</t>
  </si>
  <si>
    <t xml:space="preserve">AI creator tools segment</t>
  </si>
  <si>
    <t xml:space="preserve">$1.3B</t>
  </si>
  <si>
    <t xml:space="preserve">Goldman Sachs Creator Economy Report</t>
  </si>
  <si>
    <t xml:space="preserve">Creator economy total</t>
  </si>
  <si>
    <t xml:space="preserve">$480B by 2027</t>
  </si>
  <si>
    <t xml:space="preserve">Goldman Sachs</t>
  </si>
  <si>
    <t xml:space="preserve">2024 report</t>
  </si>
  <si>
    <t xml:space="preserve">SAM: Solo Consultants</t>
  </si>
  <si>
    <t xml:space="preserve">Global freelancers</t>
  </si>
  <si>
    <t xml:space="preserve">1.57B</t>
  </si>
  <si>
    <t xml:space="preserve">DemandSage Global Freelance Statistics</t>
  </si>
  <si>
    <t xml:space="preserve">US independent consultants</t>
  </si>
  <si>
    <t xml:space="preserve">~6.9M</t>
  </si>
  <si>
    <t xml:space="preserve">MBO Partners State of Independence</t>
  </si>
  <si>
    <t xml:space="preserve">2024</t>
  </si>
  <si>
    <t xml:space="preserve">Global management consultants</t>
  </si>
  <si>
    <t xml:space="preserve">~5M (est)</t>
  </si>
  <si>
    <t xml:space="preserve">IBIS World + Statista extrapolation</t>
  </si>
  <si>
    <t xml:space="preserve">% with recurring client obligations</t>
  </si>
  <si>
    <t xml:space="preserve">~60%</t>
  </si>
  <si>
    <t xml:space="preserve">MBO Partners survey data</t>
  </si>
  <si>
    <t xml:space="preserve">Addressable consultant base</t>
  </si>
  <si>
    <t xml:space="preserve">~3M</t>
  </si>
  <si>
    <t xml:space="preserve">5M × 60% recurring work</t>
  </si>
  <si>
    <t xml:space="preserve">Calculated</t>
  </si>
  <si>
    <t xml:space="preserve">Pro annual price</t>
  </si>
  <si>
    <t xml:space="preserve">$228/yr</t>
  </si>
  <si>
    <t xml:space="preserve">$19/mo × 12</t>
  </si>
  <si>
    <t xml:space="preserve">yarnnn pricing</t>
  </si>
  <si>
    <t xml:space="preserve">SAM calculation</t>
  </si>
  <si>
    <t xml:space="preserve">$684M</t>
  </si>
  <si>
    <t xml:space="preserve">3M × $228/yr</t>
  </si>
  <si>
    <t xml:space="preserve">Expanded SAM (incl. founders/execs)</t>
  </si>
  <si>
    <t xml:space="preserve">$1.14B</t>
  </si>
  <si>
    <t xml:space="preserve">~5M professionals × $228/yr</t>
  </si>
  <si>
    <t xml:space="preserve">SOM: Entry Wedge (3-Year Target)</t>
  </si>
  <si>
    <t xml:space="preserve">Target: solo consultants (US first)</t>
  </si>
  <si>
    <t xml:space="preserve">~2M</t>
  </si>
  <si>
    <t xml:space="preserve">MBO Partners + BLS data</t>
  </si>
  <si>
    <t xml:space="preserve">Realistic penetration (3 years)</t>
  </si>
  <si>
    <t xml:space="preserve">1%</t>
  </si>
  <si>
    <t xml:space="preserve">Conservative for new category</t>
  </si>
  <si>
    <t xml:space="preserve">Assumption</t>
  </si>
  <si>
    <t xml:space="preserve">Target paid users</t>
  </si>
  <si>
    <t xml:space="preserve">20,000</t>
  </si>
  <si>
    <t xml:space="preserve">2M × 1%</t>
  </si>
  <si>
    <t xml:space="preserve">Blended ARPU (annual)</t>
  </si>
  <si>
    <t xml:space="preserve">$171</t>
  </si>
  <si>
    <t xml:space="preserve">Mix of Starter + Pro</t>
  </si>
  <si>
    <t xml:space="preserve">From Unit Economics</t>
  </si>
  <si>
    <t xml:space="preserve">Entry SOM</t>
  </si>
  <si>
    <t xml:space="preserve">$3.4M ARR</t>
  </si>
  <si>
    <t xml:space="preserve">20K × $171</t>
  </si>
  <si>
    <t xml:space="preserve">Stretch SOM (50K users)</t>
  </si>
  <si>
    <t xml:space="preserve">$8.6M ARR</t>
  </si>
  <si>
    <t xml:space="preserve">Achievable with strong GTM</t>
  </si>
  <si>
    <t xml:space="preserve">Stretch target</t>
  </si>
  <si>
    <t xml:space="preserve">Expansion Path</t>
  </si>
  <si>
    <t xml:space="preserve">Phase 1: Solo consultants</t>
  </si>
  <si>
    <t xml:space="preserve">~3M globally</t>
  </si>
  <si>
    <t xml:space="preserve">Recurring client reports, clear pain</t>
  </si>
  <si>
    <t xml:space="preserve">Phase 2: Founders &amp; executives</t>
  </si>
  <si>
    <t xml:space="preserve">~2M globally</t>
  </si>
  <si>
    <t xml:space="preserve">Investor updates, board prep, briefs</t>
  </si>
  <si>
    <t xml:space="preserve">Phase 3: Teams &amp; ops leads</t>
  </si>
  <si>
    <t xml:space="preserve">~10M globally</t>
  </si>
  <si>
    <t xml:space="preserve">Standups, project reports, cross-team</t>
  </si>
  <si>
    <t xml:space="preserve">Phase 4: All knowledge workers</t>
  </si>
  <si>
    <t xml:space="preserve">~50M+ globally</t>
  </si>
  <si>
    <t xml:space="preserve">Any recurring work obligation</t>
  </si>
  <si>
    <t xml:space="preserve">Competitive Valuation Comps</t>
  </si>
  <si>
    <t xml:space="preserve">Company</t>
  </si>
  <si>
    <t xml:space="preserve">Valuation</t>
  </si>
  <si>
    <t xml:space="preserve">Category</t>
  </si>
  <si>
    <t xml:space="preserve">What yarnnn adds</t>
  </si>
  <si>
    <t xml:space="preserve">Notion</t>
  </si>
  <si>
    <t xml:space="preserve">$11B</t>
  </si>
  <si>
    <t xml:space="preserve">Productivity</t>
  </si>
  <si>
    <t xml:space="preserve">No autonomous output, single-platform</t>
  </si>
  <si>
    <t xml:space="preserve">Glean</t>
  </si>
  <si>
    <t xml:space="preserve">$7.2B</t>
  </si>
  <si>
    <t xml:space="preserve">Enterprise Search</t>
  </si>
  <si>
    <t xml:space="preserve">Enterprise-only, no prosumer play</t>
  </si>
  <si>
    <t xml:space="preserve">Granola</t>
  </si>
  <si>
    <t xml:space="preserve">$250M</t>
  </si>
  <si>
    <t xml:space="preserve">AI Notes</t>
  </si>
  <si>
    <t xml:space="preserve">Meeting-only, no cross-platform synthesis</t>
  </si>
  <si>
    <t xml:space="preserve">Mem.ai</t>
  </si>
  <si>
    <t xml:space="preserve">$110M (OpenAI-backed)</t>
  </si>
  <si>
    <t xml:space="preserve">Second Brain</t>
  </si>
  <si>
    <t xml:space="preserve">Memory without autonomous work output</t>
  </si>
  <si>
    <t xml:space="preserve">TwinMind</t>
  </si>
  <si>
    <t xml:space="preserve">$60M (Seed, Sep 2025)</t>
  </si>
  <si>
    <t xml:space="preserve">AI Memory</t>
  </si>
  <si>
    <t xml:space="preserve">Memory layer only, no deliverable engine</t>
  </si>
  <si>
    <t xml:space="preserve">Limitless</t>
  </si>
  <si>
    <t xml:space="preserve">Acquired by Meta</t>
  </si>
  <si>
    <t xml:space="preserve">Acquired for memory tech alone</t>
  </si>
  <si>
    <t xml:space="preserve">YARNNN — 18-Month Operating Plan</t>
  </si>
  <si>
    <t xml:space="preserve">Seed round: $500K–$1M  |  Target: 18 months runway</t>
  </si>
  <si>
    <t xml:space="preserve">Milestone Timeline</t>
  </si>
  <si>
    <t xml:space="preserve">Milestone</t>
  </si>
  <si>
    <t xml:space="preserve">Months 1-3</t>
  </si>
  <si>
    <t xml:space="preserve">Months 4-6</t>
  </si>
  <si>
    <t xml:space="preserve">Months 7-9</t>
  </si>
  <si>
    <t xml:space="preserve">Months 10-12</t>
  </si>
  <si>
    <t xml:space="preserve">Months 13-15</t>
  </si>
  <si>
    <t xml:space="preserve">Months 16-18</t>
  </si>
  <si>
    <t xml:space="preserve">Success Metric</t>
  </si>
  <si>
    <t xml:space="preserve">Users</t>
  </si>
  <si>
    <t xml:space="preserve">50 beta</t>
  </si>
  <si>
    <t xml:space="preserve">200 active</t>
  </si>
  <si>
    <t xml:space="preserve">800 active</t>
  </si>
  <si>
    <t xml:space="preserve">2,000 active</t>
  </si>
  <si>
    <t xml:space="preserve">5,000 active</t>
  </si>
  <si>
    <t xml:space="preserve">10,000 active</t>
  </si>
  <si>
    <t xml:space="preserve">30-day retention &gt; 40%</t>
  </si>
  <si>
    <t xml:space="preserve">Revenue</t>
  </si>
  <si>
    <t xml:space="preserve">$0 (beta)</t>
  </si>
  <si>
    <t xml:space="preserve">$1K MRR</t>
  </si>
  <si>
    <t xml:space="preserve">$5K MRR</t>
  </si>
  <si>
    <t xml:space="preserve">$15K MRR</t>
  </si>
  <si>
    <t xml:space="preserve">$35K MRR</t>
  </si>
  <si>
    <t xml:space="preserve">$70K MRR</t>
  </si>
  <si>
    <t xml:space="preserve">Path to $100K MRR</t>
  </si>
  <si>
    <t xml:space="preserve">Product</t>
  </si>
  <si>
    <t xml:space="preserve">TP + 4 integrations</t>
  </si>
  <si>
    <t xml:space="preserve">Deliverable engine v2</t>
  </si>
  <si>
    <t xml:space="preserve">Signal processing</t>
  </si>
  <si>
    <t xml:space="preserve">Team features (alpha)</t>
  </si>
  <si>
    <t xml:space="preserve">API / plugin system</t>
  </si>
  <si>
    <t xml:space="preserve">Enterprise pilot</t>
  </si>
  <si>
    <t xml:space="preserve">NPS &gt; 50</t>
  </si>
  <si>
    <t xml:space="preserve">Team</t>
  </si>
  <si>
    <t xml:space="preserve">Solo founder</t>
  </si>
  <si>
    <t xml:space="preserve">Tech Lead hired</t>
  </si>
  <si>
    <t xml:space="preserve">GTM Lead hired</t>
  </si>
  <si>
    <t xml:space="preserve">3 people</t>
  </si>
  <si>
    <t xml:space="preserve">4-5 people</t>
  </si>
  <si>
    <t xml:space="preserve">5-6 people</t>
  </si>
  <si>
    <t xml:space="preserve">Key hires in place</t>
  </si>
  <si>
    <t xml:space="preserve">Fundraise</t>
  </si>
  <si>
    <t xml:space="preserve">Seed closes</t>
  </si>
  <si>
    <t xml:space="preserve">—</t>
  </si>
  <si>
    <t xml:space="preserve">Series A prep</t>
  </si>
  <si>
    <t xml:space="preserve">Series A conversations</t>
  </si>
  <si>
    <t xml:space="preserve">Series A close ($3-5M)</t>
  </si>
  <si>
    <t xml:space="preserve">$3-5M at $30-50M</t>
  </si>
  <si>
    <t xml:space="preserve">Use of Funds Allocation ($750K midpoint)</t>
  </si>
  <si>
    <t xml:space="preserve">Amount</t>
  </si>
  <si>
    <t xml:space="preserve">% of Total</t>
  </si>
  <si>
    <t xml:space="preserve">Notes</t>
  </si>
  <si>
    <t xml:space="preserve">Founder salary (18 mo)</t>
  </si>
  <si>
    <t xml:space="preserve">Pre-revenue: $0, scales to $8K/mo</t>
  </si>
  <si>
    <t xml:space="preserve">Tech Lead (12 mo)</t>
  </si>
  <si>
    <t xml:space="preserve">Hired month 4, $12-14K/mo</t>
  </si>
  <si>
    <t xml:space="preserve">GTM Lead (10 mo)</t>
  </si>
  <si>
    <t xml:space="preserve">Hired month 7, $8-10K/mo</t>
  </si>
  <si>
    <t xml:space="preserve">Infrastructure &amp; APIs</t>
  </si>
  <si>
    <t xml:space="preserve">Render, Supabase, Claude API, scaling with users</t>
  </si>
  <si>
    <t xml:space="preserve">Legal &amp; compliance</t>
  </si>
  <si>
    <t xml:space="preserve">Incorporation, IP, privacy policy, terms</t>
  </si>
  <si>
    <t xml:space="preserve">Tools &amp; software</t>
  </si>
  <si>
    <t xml:space="preserve">Dev tools, analytics, marketing tools</t>
  </si>
  <si>
    <t xml:space="preserve">Buffer / contingency</t>
  </si>
  <si>
    <t xml:space="preserve">Runway extension, unexpected costs</t>
  </si>
  <si>
    <t xml:space="preserve">TOTAL</t>
  </si>
  <si>
    <t xml:space="preserve">Key Hypotheses Being Tested</t>
  </si>
  <si>
    <t xml:space="preserve">Hypothesis</t>
  </si>
  <si>
    <t xml:space="preserve">What We're Testing</t>
  </si>
  <si>
    <t xml:space="preserve">H1: Cold-start solved by TP</t>
  </si>
  <si>
    <t xml:space="preserve">TP with synced platform context provides immediate value from Day 1</t>
  </si>
  <si>
    <t xml:space="preserve">Week 1 retention &gt; 60%</t>
  </si>
  <si>
    <t xml:space="preserve">H2: Context compounds value</t>
  </si>
  <si>
    <t xml:space="preserve">Accumulated context produces measurably better output over time</t>
  </si>
  <si>
    <t xml:space="preserve">Edit distance decreases 30%+ by week 8</t>
  </si>
  <si>
    <t xml:space="preserve">H3: Switching costs are real</t>
  </si>
  <si>
    <t xml:space="preserve">Users with 90+ days of context don't churn to competitors</t>
  </si>
  <si>
    <t xml:space="preserve">90-day retention &gt; 70%</t>
  </si>
  <si>
    <t xml:space="preserve">H4: Consultants will pay $19/mo</t>
  </si>
  <si>
    <t xml:space="preserve">Solo consultants see enough value to upgrade from free</t>
  </si>
  <si>
    <t xml:space="preserve">Free→paid conversion &gt; 8%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</si>
</sst>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$#,##0.00;&quot;($&quot;#,##0.00\);\-"/>
    <numFmt numFmtId="167" formatCode="0.0%"/>
    <numFmt numFmtId="168" formatCode="0%"/>
    <numFmt numFmtId="169" formatCode="#,##0"/>
    <numFmt numFmtId="170" formatCode="\$#,##0"/>
    <numFmt numFmtId="171" formatCode="\$#,##0;&quot;($&quot;#,##0\);\-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E898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E8985E"/>
      <name val="Arial"/>
      <family val="0"/>
      <charset val="1"/>
    </font>
    <font>
      <i val="true"/>
      <sz val="10"/>
      <color rgb="FFE8985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CCFFFF"/>
      <rgbColor rgb="FF660066"/>
      <rgbColor rgb="FFE8985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5" t="n">
        <v>0.05</v>
      </c>
      <c r="C5" s="5" t="n">
        <v>0.15</v>
      </c>
      <c r="D5" s="5" t="n">
        <v>0.5</v>
      </c>
    </row>
    <row r="6" customFormat="false" ht="15" hidden="false" customHeight="false" outlineLevel="0" collapsed="false">
      <c r="A6" s="4" t="s">
        <v>6</v>
      </c>
      <c r="B6" s="5" t="n">
        <v>0.5</v>
      </c>
      <c r="C6" s="5" t="n">
        <v>2</v>
      </c>
      <c r="D6" s="5" t="n">
        <v>5</v>
      </c>
    </row>
    <row r="7" customFormat="false" ht="15" hidden="false" customHeight="false" outlineLevel="0" collapsed="false">
      <c r="A7" s="4" t="s">
        <v>7</v>
      </c>
      <c r="B7" s="5" t="n">
        <v>0.02</v>
      </c>
      <c r="C7" s="5" t="n">
        <v>0.08</v>
      </c>
      <c r="D7" s="5" t="n">
        <v>0.2</v>
      </c>
    </row>
    <row r="8" customFormat="false" ht="15" hidden="false" customHeight="false" outlineLevel="0" collapsed="false">
      <c r="A8" s="4" t="s">
        <v>8</v>
      </c>
      <c r="B8" s="5" t="n">
        <v>0.1</v>
      </c>
      <c r="C8" s="5" t="n">
        <v>0.1</v>
      </c>
      <c r="D8" s="5" t="n">
        <v>0.1</v>
      </c>
    </row>
    <row r="9" customFormat="false" ht="15" hidden="false" customHeight="false" outlineLevel="0" collapsed="false">
      <c r="A9" s="6" t="s">
        <v>9</v>
      </c>
      <c r="B9" s="7" t="n">
        <f aca="false">SUM(B5:B8)</f>
        <v>0.67</v>
      </c>
      <c r="C9" s="7" t="n">
        <f aca="false">SUM(C5:C8)</f>
        <v>2.33</v>
      </c>
      <c r="D9" s="7" t="n">
        <f aca="false">SUM(D5:D8)</f>
        <v>5.8</v>
      </c>
    </row>
    <row r="11" customFormat="false" ht="15" hidden="false" customHeight="false" outlineLevel="0" collapsed="false">
      <c r="A11" s="6" t="s">
        <v>10</v>
      </c>
      <c r="B11" s="8" t="n">
        <v>0</v>
      </c>
      <c r="C11" s="8" t="n">
        <v>9</v>
      </c>
      <c r="D11" s="8" t="n">
        <v>19</v>
      </c>
    </row>
    <row r="12" customFormat="false" ht="15" hidden="false" customHeight="false" outlineLevel="0" collapsed="false">
      <c r="A12" s="6" t="s">
        <v>11</v>
      </c>
      <c r="B12" s="9" t="n">
        <f aca="false">B11-B9</f>
        <v>-0.67</v>
      </c>
      <c r="C12" s="9" t="n">
        <f aca="false">C11-C9</f>
        <v>6.67</v>
      </c>
      <c r="D12" s="9" t="n">
        <f aca="false">D11-D9</f>
        <v>13.2</v>
      </c>
    </row>
    <row r="13" customFormat="false" ht="15" hidden="false" customHeight="false" outlineLevel="0" collapsed="false">
      <c r="A13" s="6" t="s">
        <v>12</v>
      </c>
      <c r="B13" s="10" t="n">
        <f aca="false">IF(B11=0,0,B12/B11)</f>
        <v>0</v>
      </c>
      <c r="C13" s="10" t="n">
        <f aca="false">IF(C11=0,0,C12/C11)</f>
        <v>0.741111111111111</v>
      </c>
      <c r="D13" s="10" t="n">
        <f aca="false">IF(D11=0,0,D12/D11)</f>
        <v>0.694736842105263</v>
      </c>
    </row>
    <row r="15" customFormat="false" ht="15" hidden="false" customHeight="false" outlineLevel="0" collapsed="false">
      <c r="A15" s="11" t="s">
        <v>13</v>
      </c>
    </row>
    <row r="16" customFormat="false" ht="15" hidden="false" customHeight="false" outlineLevel="0" collapsed="false">
      <c r="A16" s="11" t="s">
        <v>14</v>
      </c>
    </row>
    <row r="17" customFormat="false" ht="15" hidden="false" customHeight="false" outlineLevel="0" collapsed="false">
      <c r="A17" s="11" t="s">
        <v>15</v>
      </c>
    </row>
    <row r="18" customFormat="false" ht="15" hidden="false" customHeight="false" outlineLevel="0" collapsed="false">
      <c r="A18" s="11" t="s">
        <v>16</v>
      </c>
    </row>
    <row r="19" customFormat="false" ht="15" hidden="false" customHeight="false" outlineLevel="0" collapsed="false">
      <c r="A19" s="11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 t="s">
        <v>20</v>
      </c>
      <c r="B23" s="12" t="n">
        <v>0.6</v>
      </c>
    </row>
    <row r="24" customFormat="false" ht="15" hidden="false" customHeight="false" outlineLevel="0" collapsed="false">
      <c r="A24" s="4" t="s">
        <v>21</v>
      </c>
      <c r="B24" s="12" t="n">
        <v>0.25</v>
      </c>
    </row>
    <row r="25" customFormat="false" ht="15" hidden="false" customHeight="false" outlineLevel="0" collapsed="false">
      <c r="A25" s="4" t="s">
        <v>22</v>
      </c>
      <c r="B25" s="12" t="n">
        <v>0.15</v>
      </c>
    </row>
    <row r="27" customFormat="false" ht="15" hidden="false" customHeight="false" outlineLevel="0" collapsed="false">
      <c r="A27" s="6" t="s">
        <v>23</v>
      </c>
      <c r="B27" s="13" t="n">
        <f aca="false">B23*B11+B24*C11+B25*D11</f>
        <v>5.1</v>
      </c>
    </row>
    <row r="28" customFormat="false" ht="15" hidden="false" customHeight="false" outlineLevel="0" collapsed="false">
      <c r="A28" s="6" t="s">
        <v>24</v>
      </c>
      <c r="B28" s="13" t="n">
        <f aca="false">B23*B9+B24*C9+B25*D9</f>
        <v>1.8545</v>
      </c>
    </row>
    <row r="29" customFormat="false" ht="15" hidden="false" customHeight="false" outlineLevel="0" collapsed="false">
      <c r="A29" s="6" t="s">
        <v>25</v>
      </c>
      <c r="B29" s="10" t="n">
        <f aca="false">IF(B27=0,0,(B27-B28)/B27)</f>
        <v>0.636372549019608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2"/>
    <col collapsed="false" customWidth="true" hidden="false" outlineLevel="0" max="16" min="14" style="0" width="14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2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</row>
    <row r="5" customFormat="false" ht="15" hidden="false" customHeight="false" outlineLevel="0" collapsed="false">
      <c r="A5" s="4" t="s">
        <v>44</v>
      </c>
      <c r="B5" s="14" t="n">
        <v>50</v>
      </c>
      <c r="C5" s="14" t="n">
        <v>150</v>
      </c>
      <c r="D5" s="14" t="n">
        <v>400</v>
      </c>
      <c r="E5" s="14" t="n">
        <v>800</v>
      </c>
      <c r="F5" s="14" t="n">
        <v>1500</v>
      </c>
      <c r="G5" s="14" t="n">
        <v>2500</v>
      </c>
      <c r="H5" s="14" t="n">
        <v>4000</v>
      </c>
      <c r="I5" s="14" t="n">
        <v>6000</v>
      </c>
      <c r="J5" s="14" t="n">
        <v>8000</v>
      </c>
      <c r="K5" s="14" t="n">
        <v>10000</v>
      </c>
      <c r="L5" s="14" t="n">
        <v>12000</v>
      </c>
      <c r="M5" s="14" t="n">
        <v>15000</v>
      </c>
      <c r="N5" s="15" t="n">
        <f aca="false">B5+C5+D5+E5</f>
        <v>1400</v>
      </c>
      <c r="O5" s="15" t="n">
        <f aca="false">F5+G5+H5+I5</f>
        <v>14000</v>
      </c>
      <c r="P5" s="15" t="n">
        <f aca="false">J5+K5+L5+M5</f>
        <v>45000</v>
      </c>
    </row>
    <row r="6" customFormat="false" ht="15" hidden="false" customHeight="false" outlineLevel="0" collapsed="false">
      <c r="A6" s="4" t="s">
        <v>45</v>
      </c>
      <c r="B6" s="16" t="n">
        <v>0.15</v>
      </c>
      <c r="C6" s="16" t="n">
        <v>0.12</v>
      </c>
      <c r="D6" s="16" t="n">
        <v>0.1</v>
      </c>
      <c r="E6" s="16" t="n">
        <v>0.08</v>
      </c>
      <c r="F6" s="16" t="n">
        <v>0.07</v>
      </c>
      <c r="G6" s="16" t="n">
        <v>0.06</v>
      </c>
      <c r="H6" s="16" t="n">
        <v>0.055</v>
      </c>
      <c r="I6" s="16" t="n">
        <v>0.05</v>
      </c>
      <c r="J6" s="16" t="n">
        <v>0.045</v>
      </c>
      <c r="K6" s="16" t="n">
        <v>0.04</v>
      </c>
      <c r="L6" s="16" t="n">
        <v>0.04</v>
      </c>
      <c r="M6" s="16" t="n">
        <v>0.035</v>
      </c>
    </row>
    <row r="7" customFormat="false" ht="15" hidden="false" customHeight="false" outlineLevel="0" collapsed="false">
      <c r="A7" s="4" t="s">
        <v>46</v>
      </c>
      <c r="B7" s="17" t="n">
        <f aca="false">ROUND(B6*3*0,0)</f>
        <v>0</v>
      </c>
      <c r="C7" s="17" t="n">
        <f aca="false">ROUND(C6*3*B8,0)</f>
        <v>18</v>
      </c>
      <c r="D7" s="17" t="n">
        <f aca="false">ROUND(D6*3*C8,0)</f>
        <v>55</v>
      </c>
      <c r="E7" s="17" t="n">
        <f aca="false">ROUND(E6*3*D8,0)</f>
        <v>126</v>
      </c>
      <c r="F7" s="17" t="n">
        <f aca="false">ROUND(F6*3*E8,0)</f>
        <v>252</v>
      </c>
      <c r="G7" s="17" t="n">
        <f aca="false">ROUND(G6*3*F8,0)</f>
        <v>441</v>
      </c>
      <c r="H7" s="17" t="n">
        <f aca="false">ROUND(H6*3*G8,0)</f>
        <v>744</v>
      </c>
      <c r="I7" s="17" t="n">
        <f aca="false">ROUND(I6*3*H8,0)</f>
        <v>1165</v>
      </c>
      <c r="J7" s="17" t="n">
        <f aca="false">ROUND(J6*3*I8,0)</f>
        <v>1701</v>
      </c>
      <c r="K7" s="17" t="n">
        <f aca="false">ROUND(K6*3*J8,0)</f>
        <v>2268</v>
      </c>
      <c r="L7" s="17" t="n">
        <f aca="false">ROUND(L6*3*K8,0)</f>
        <v>3196</v>
      </c>
      <c r="M7" s="17" t="n">
        <f aca="false">ROUND(M6*3*L8,0)</f>
        <v>3721</v>
      </c>
      <c r="N7" s="17" t="n">
        <f aca="false">B7+C7+D7+E7</f>
        <v>199</v>
      </c>
      <c r="O7" s="17" t="n">
        <f aca="false">F7+G7+H7+I7</f>
        <v>2602</v>
      </c>
      <c r="P7" s="17" t="n">
        <f aca="false">J7+K7+L7+M7</f>
        <v>10886</v>
      </c>
    </row>
    <row r="8" customFormat="false" ht="15" hidden="false" customHeight="false" outlineLevel="0" collapsed="false">
      <c r="A8" s="6" t="s">
        <v>47</v>
      </c>
      <c r="B8" s="18" t="n">
        <f aca="false">B5-B7</f>
        <v>50</v>
      </c>
      <c r="C8" s="18" t="n">
        <f aca="false">B8+C5-C7</f>
        <v>182</v>
      </c>
      <c r="D8" s="18" t="n">
        <f aca="false">C8+D5-D7</f>
        <v>527</v>
      </c>
      <c r="E8" s="18" t="n">
        <f aca="false">D8+E5-E7</f>
        <v>1201</v>
      </c>
      <c r="F8" s="18" t="n">
        <f aca="false">E8+F5-F7</f>
        <v>2449</v>
      </c>
      <c r="G8" s="18" t="n">
        <f aca="false">F8+G5-G7</f>
        <v>4508</v>
      </c>
      <c r="H8" s="18" t="n">
        <f aca="false">G8+H5-H7</f>
        <v>7764</v>
      </c>
      <c r="I8" s="18" t="n">
        <f aca="false">H8+I5-I7</f>
        <v>12599</v>
      </c>
      <c r="J8" s="18" t="n">
        <f aca="false">I8+J5-J7</f>
        <v>18898</v>
      </c>
      <c r="K8" s="18" t="n">
        <f aca="false">J8+K5-K7</f>
        <v>26630</v>
      </c>
      <c r="L8" s="18" t="n">
        <f aca="false">K8+L5-L7</f>
        <v>35434</v>
      </c>
      <c r="M8" s="18" t="n">
        <f aca="false">L8+M5-M7</f>
        <v>46713</v>
      </c>
      <c r="N8" s="15" t="n">
        <f aca="false">E8</f>
        <v>1201</v>
      </c>
      <c r="O8" s="15" t="n">
        <f aca="false">I8</f>
        <v>12599</v>
      </c>
      <c r="P8" s="15" t="n">
        <f aca="false">M8</f>
        <v>46713</v>
      </c>
    </row>
    <row r="10" customFormat="false" ht="15" hidden="false" customHeight="false" outlineLevel="0" collapsed="false">
      <c r="A10" s="2" t="s">
        <v>48</v>
      </c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35</v>
      </c>
      <c r="I11" s="3" t="s">
        <v>36</v>
      </c>
      <c r="J11" s="3" t="s">
        <v>37</v>
      </c>
      <c r="K11" s="3" t="s">
        <v>38</v>
      </c>
      <c r="L11" s="3" t="s">
        <v>39</v>
      </c>
      <c r="M11" s="3" t="s">
        <v>40</v>
      </c>
      <c r="N11" s="3" t="s">
        <v>41</v>
      </c>
      <c r="O11" s="3" t="s">
        <v>42</v>
      </c>
      <c r="P11" s="3" t="s">
        <v>43</v>
      </c>
    </row>
    <row r="12" customFormat="false" ht="15" hidden="false" customHeight="false" outlineLevel="0" collapsed="false">
      <c r="A12" s="4" t="s">
        <v>49</v>
      </c>
      <c r="B12" s="19" t="n">
        <f aca="false">ROUND(B8*(1-'Unit Economics'!B23),0)</f>
        <v>20</v>
      </c>
      <c r="C12" s="19" t="n">
        <f aca="false">ROUND(C8*(1-'Unit Economics'!B23),0)</f>
        <v>73</v>
      </c>
      <c r="D12" s="19" t="n">
        <f aca="false">ROUND(D8*(1-'Unit Economics'!B23),0)</f>
        <v>211</v>
      </c>
      <c r="E12" s="19" t="n">
        <f aca="false">ROUND(E8*(1-'Unit Economics'!B23),0)</f>
        <v>480</v>
      </c>
      <c r="F12" s="19" t="n">
        <f aca="false">ROUND(F8*(1-'Unit Economics'!B23),0)</f>
        <v>980</v>
      </c>
      <c r="G12" s="19" t="n">
        <f aca="false">ROUND(G8*(1-'Unit Economics'!B23),0)</f>
        <v>1803</v>
      </c>
      <c r="H12" s="19" t="n">
        <f aca="false">ROUND(H8*(1-'Unit Economics'!B23),0)</f>
        <v>3106</v>
      </c>
      <c r="I12" s="19" t="n">
        <f aca="false">ROUND(I8*(1-'Unit Economics'!B23),0)</f>
        <v>5040</v>
      </c>
      <c r="J12" s="19" t="n">
        <f aca="false">ROUND(J8*(1-'Unit Economics'!B23),0)</f>
        <v>7559</v>
      </c>
      <c r="K12" s="19" t="n">
        <f aca="false">ROUND(K8*(1-'Unit Economics'!B23),0)</f>
        <v>10652</v>
      </c>
      <c r="L12" s="19" t="n">
        <f aca="false">ROUND(L8*(1-'Unit Economics'!B23),0)</f>
        <v>14174</v>
      </c>
      <c r="M12" s="19" t="n">
        <f aca="false">ROUND(M8*(1-'Unit Economics'!B23),0)</f>
        <v>18685</v>
      </c>
    </row>
    <row r="13" customFormat="false" ht="15" hidden="false" customHeight="false" outlineLevel="0" collapsed="false">
      <c r="A13" s="6" t="s">
        <v>50</v>
      </c>
      <c r="B13" s="20" t="n">
        <f aca="false">B8*'Unit Economics'!B27</f>
        <v>255</v>
      </c>
      <c r="C13" s="20" t="n">
        <f aca="false">C8*'Unit Economics'!B27</f>
        <v>928.2</v>
      </c>
      <c r="D13" s="20" t="n">
        <f aca="false">D8*'Unit Economics'!B27</f>
        <v>2687.7</v>
      </c>
      <c r="E13" s="20" t="n">
        <f aca="false">E8*'Unit Economics'!B27</f>
        <v>6125.1</v>
      </c>
      <c r="F13" s="20" t="n">
        <f aca="false">F8*'Unit Economics'!B27</f>
        <v>12489.9</v>
      </c>
      <c r="G13" s="20" t="n">
        <f aca="false">G8*'Unit Economics'!B27</f>
        <v>22990.8</v>
      </c>
      <c r="H13" s="20" t="n">
        <f aca="false">H8*'Unit Economics'!B27</f>
        <v>39596.4</v>
      </c>
      <c r="I13" s="20" t="n">
        <f aca="false">I8*'Unit Economics'!B27</f>
        <v>64254.9</v>
      </c>
      <c r="J13" s="20" t="n">
        <f aca="false">J8*'Unit Economics'!B27</f>
        <v>96379.8</v>
      </c>
      <c r="K13" s="20" t="n">
        <f aca="false">K8*'Unit Economics'!B27</f>
        <v>135813</v>
      </c>
      <c r="L13" s="20" t="n">
        <f aca="false">L8*'Unit Economics'!B27</f>
        <v>180713.4</v>
      </c>
      <c r="M13" s="20" t="n">
        <f aca="false">M8*'Unit Economics'!B27</f>
        <v>238236.3</v>
      </c>
    </row>
    <row r="14" customFormat="false" ht="15" hidden="false" customHeight="false" outlineLevel="0" collapsed="false">
      <c r="A14" s="6" t="s">
        <v>51</v>
      </c>
      <c r="B14" s="21" t="n">
        <f aca="false">B13*3</f>
        <v>765</v>
      </c>
      <c r="C14" s="21" t="n">
        <f aca="false">C13*3</f>
        <v>2784.6</v>
      </c>
      <c r="D14" s="21" t="n">
        <f aca="false">D13*3</f>
        <v>8063.1</v>
      </c>
      <c r="E14" s="21" t="n">
        <f aca="false">E13*3</f>
        <v>18375.3</v>
      </c>
      <c r="F14" s="21" t="n">
        <f aca="false">F13*3</f>
        <v>37469.7</v>
      </c>
      <c r="G14" s="21" t="n">
        <f aca="false">G13*3</f>
        <v>68972.4</v>
      </c>
      <c r="H14" s="21" t="n">
        <f aca="false">H13*3</f>
        <v>118789.2</v>
      </c>
      <c r="I14" s="21" t="n">
        <f aca="false">I13*3</f>
        <v>192764.7</v>
      </c>
      <c r="J14" s="21" t="n">
        <f aca="false">J13*3</f>
        <v>289139.4</v>
      </c>
      <c r="K14" s="21" t="n">
        <f aca="false">K13*3</f>
        <v>407439</v>
      </c>
      <c r="L14" s="21" t="n">
        <f aca="false">L13*3</f>
        <v>542140.2</v>
      </c>
      <c r="M14" s="21" t="n">
        <f aca="false">M13*3</f>
        <v>714708.9</v>
      </c>
      <c r="N14" s="22" t="n">
        <f aca="false">B14+C14+D14+E14</f>
        <v>29988</v>
      </c>
      <c r="O14" s="22" t="n">
        <f aca="false">F14+G14+H14+I14</f>
        <v>417996</v>
      </c>
      <c r="P14" s="22" t="n">
        <f aca="false">J14+K14+L14+M14</f>
        <v>1953427.5</v>
      </c>
    </row>
    <row r="15" customFormat="false" ht="15" hidden="false" customHeight="false" outlineLevel="0" collapsed="false">
      <c r="A15" s="6" t="s">
        <v>52</v>
      </c>
      <c r="B15" s="22" t="n">
        <f aca="false">B13*12</f>
        <v>3060</v>
      </c>
      <c r="C15" s="22" t="n">
        <f aca="false">C13*12</f>
        <v>11138.4</v>
      </c>
      <c r="D15" s="22" t="n">
        <f aca="false">D13*12</f>
        <v>32252.4</v>
      </c>
      <c r="E15" s="22" t="n">
        <f aca="false">E13*12</f>
        <v>73501.2</v>
      </c>
      <c r="F15" s="22" t="n">
        <f aca="false">F13*12</f>
        <v>149878.8</v>
      </c>
      <c r="G15" s="22" t="n">
        <f aca="false">G13*12</f>
        <v>275889.6</v>
      </c>
      <c r="H15" s="22" t="n">
        <f aca="false">H13*12</f>
        <v>475156.8</v>
      </c>
      <c r="I15" s="22" t="n">
        <f aca="false">I13*12</f>
        <v>771058.8</v>
      </c>
      <c r="J15" s="22" t="n">
        <f aca="false">J13*12</f>
        <v>1156557.6</v>
      </c>
      <c r="K15" s="22" t="n">
        <f aca="false">K13*12</f>
        <v>1629756</v>
      </c>
      <c r="L15" s="22" t="n">
        <f aca="false">L13*12</f>
        <v>2168560.8</v>
      </c>
      <c r="M15" s="22" t="n">
        <f aca="false">M13*12</f>
        <v>2858835.6</v>
      </c>
      <c r="N15" s="22" t="n">
        <f aca="false">E15</f>
        <v>73501.2</v>
      </c>
      <c r="O15" s="22" t="n">
        <f aca="false">I15</f>
        <v>771058.8</v>
      </c>
      <c r="P15" s="22" t="n">
        <f aca="false">M15</f>
        <v>2858835.6</v>
      </c>
    </row>
    <row r="17" customFormat="false" ht="15" hidden="false" customHeight="false" outlineLevel="0" collapsed="false">
      <c r="A17" s="2" t="s">
        <v>53</v>
      </c>
    </row>
    <row r="18" customFormat="false" ht="15" hidden="false" customHeight="false" outlineLevel="0" collapsed="false">
      <c r="A18" s="4" t="s">
        <v>54</v>
      </c>
      <c r="B18" s="20" t="n">
        <f aca="false">B8*'Unit Economics'!B28*3</f>
        <v>278.175</v>
      </c>
      <c r="C18" s="20" t="n">
        <f aca="false">C8*'Unit Economics'!B28*3</f>
        <v>1012.557</v>
      </c>
      <c r="D18" s="20" t="n">
        <f aca="false">D8*'Unit Economics'!B28*3</f>
        <v>2931.9645</v>
      </c>
      <c r="E18" s="20" t="n">
        <f aca="false">E8*'Unit Economics'!B28*3</f>
        <v>6681.7635</v>
      </c>
      <c r="F18" s="20" t="n">
        <f aca="false">F8*'Unit Economics'!B28*3</f>
        <v>13625.0115</v>
      </c>
      <c r="G18" s="20" t="n">
        <f aca="false">G8*'Unit Economics'!B28*3</f>
        <v>25080.258</v>
      </c>
      <c r="H18" s="20" t="n">
        <f aca="false">H8*'Unit Economics'!B28*3</f>
        <v>43195.014</v>
      </c>
      <c r="I18" s="20" t="n">
        <f aca="false">I8*'Unit Economics'!B28*3</f>
        <v>70094.5365</v>
      </c>
      <c r="J18" s="20" t="n">
        <f aca="false">J8*'Unit Economics'!B28*3</f>
        <v>105139.023</v>
      </c>
      <c r="K18" s="20" t="n">
        <f aca="false">K8*'Unit Economics'!B28*3</f>
        <v>148156.005</v>
      </c>
      <c r="L18" s="20" t="n">
        <f aca="false">L8*'Unit Economics'!B28*3</f>
        <v>197137.059</v>
      </c>
      <c r="M18" s="20" t="n">
        <f aca="false">M8*'Unit Economics'!B28*3</f>
        <v>259887.7755</v>
      </c>
      <c r="N18" s="23" t="n">
        <f aca="false">B18+C18+D18+E18</f>
        <v>10904.46</v>
      </c>
      <c r="O18" s="23" t="n">
        <f aca="false">F18+G18+H18+I18</f>
        <v>151994.82</v>
      </c>
      <c r="P18" s="23" t="n">
        <f aca="false">J18+K18+L18+M18</f>
        <v>710319.8625</v>
      </c>
    </row>
    <row r="19" customFormat="false" ht="15" hidden="false" customHeight="false" outlineLevel="0" collapsed="false">
      <c r="A19" s="6" t="s">
        <v>55</v>
      </c>
      <c r="B19" s="24" t="n">
        <f aca="false">B14-B18</f>
        <v>486.825</v>
      </c>
      <c r="C19" s="24" t="n">
        <f aca="false">C14-C18</f>
        <v>1772.043</v>
      </c>
      <c r="D19" s="24" t="n">
        <f aca="false">D14-D18</f>
        <v>5131.1355</v>
      </c>
      <c r="E19" s="24" t="n">
        <f aca="false">E14-E18</f>
        <v>11693.5365</v>
      </c>
      <c r="F19" s="24" t="n">
        <f aca="false">F14-F18</f>
        <v>23844.6885</v>
      </c>
      <c r="G19" s="24" t="n">
        <f aca="false">G14-G18</f>
        <v>43892.142</v>
      </c>
      <c r="H19" s="24" t="n">
        <f aca="false">H14-H18</f>
        <v>75594.186</v>
      </c>
      <c r="I19" s="24" t="n">
        <f aca="false">I14-I18</f>
        <v>122670.1635</v>
      </c>
      <c r="J19" s="24" t="n">
        <f aca="false">J14-J18</f>
        <v>184000.377</v>
      </c>
      <c r="K19" s="24" t="n">
        <f aca="false">K14-K18</f>
        <v>259282.995</v>
      </c>
      <c r="L19" s="24" t="n">
        <f aca="false">L14-L18</f>
        <v>345003.141</v>
      </c>
      <c r="M19" s="24" t="n">
        <f aca="false">M14-M18</f>
        <v>454821.1245</v>
      </c>
      <c r="N19" s="24" t="n">
        <f aca="false">B19+C19+D19+E19</f>
        <v>19083.54</v>
      </c>
      <c r="O19" s="24" t="n">
        <f aca="false">F19+G19+H19+I19</f>
        <v>266001.18</v>
      </c>
      <c r="P19" s="24" t="n">
        <f aca="false">J19+K19+L19+M19</f>
        <v>1243107.6375</v>
      </c>
    </row>
    <row r="20" customFormat="false" ht="15" hidden="false" customHeight="false" outlineLevel="0" collapsed="false">
      <c r="A20" s="6" t="s">
        <v>12</v>
      </c>
      <c r="B20" s="10" t="n">
        <f aca="false">IF(B14=0,0,B19/B14)</f>
        <v>0.636372549019608</v>
      </c>
      <c r="C20" s="10" t="n">
        <f aca="false">IF(C14=0,0,C19/C14)</f>
        <v>0.636372549019608</v>
      </c>
      <c r="D20" s="10" t="n">
        <f aca="false">IF(D14=0,0,D19/D14)</f>
        <v>0.636372549019608</v>
      </c>
      <c r="E20" s="10" t="n">
        <f aca="false">IF(E14=0,0,E19/E14)</f>
        <v>0.636372549019608</v>
      </c>
      <c r="F20" s="10" t="n">
        <f aca="false">IF(F14=0,0,F19/F14)</f>
        <v>0.636372549019608</v>
      </c>
      <c r="G20" s="10" t="n">
        <f aca="false">IF(G14=0,0,G19/G14)</f>
        <v>0.636372549019608</v>
      </c>
      <c r="H20" s="10" t="n">
        <f aca="false">IF(H14=0,0,H19/H14)</f>
        <v>0.636372549019608</v>
      </c>
      <c r="I20" s="10" t="n">
        <f aca="false">IF(I14=0,0,I19/I14)</f>
        <v>0.636372549019608</v>
      </c>
      <c r="J20" s="10" t="n">
        <f aca="false">IF(J14=0,0,J19/J14)</f>
        <v>0.636372549019608</v>
      </c>
      <c r="K20" s="10" t="n">
        <f aca="false">IF(K14=0,0,K19/K14)</f>
        <v>0.636372549019608</v>
      </c>
      <c r="L20" s="10" t="n">
        <f aca="false">IF(L14=0,0,L19/L14)</f>
        <v>0.636372549019608</v>
      </c>
      <c r="M20" s="10" t="n">
        <f aca="false">IF(M14=0,0,M19/M14)</f>
        <v>0.636372549019608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2"/>
    <col collapsed="false" customWidth="true" hidden="false" outlineLevel="0" max="16" min="14" style="0" width="14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2" t="s">
        <v>57</v>
      </c>
    </row>
    <row r="4" customFormat="false" ht="15" hidden="false" customHeight="false" outlineLevel="0" collapsed="false">
      <c r="A4" s="4" t="s">
        <v>58</v>
      </c>
      <c r="B4" s="25" t="n">
        <v>750000</v>
      </c>
    </row>
    <row r="5" customFormat="false" ht="15" hidden="false" customHeight="false" outlineLevel="0" collapsed="false">
      <c r="A5" s="4" t="s">
        <v>59</v>
      </c>
      <c r="B5" s="25" t="n">
        <v>7500000</v>
      </c>
    </row>
    <row r="6" customFormat="false" ht="15" hidden="false" customHeight="false" outlineLevel="0" collapsed="false">
      <c r="A6" s="4" t="s">
        <v>60</v>
      </c>
      <c r="B6" s="26" t="n">
        <f aca="false">B4/(B5+B4)</f>
        <v>0.0909090909090909</v>
      </c>
    </row>
    <row r="8" customFormat="false" ht="15" hidden="false" customHeight="false" outlineLevel="0" collapsed="false">
      <c r="A8" s="2" t="s">
        <v>61</v>
      </c>
    </row>
    <row r="9" customFormat="false" ht="15" hidden="false" customHeight="false" outlineLevel="0" collapsed="false">
      <c r="A9" s="3" t="s">
        <v>62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  <c r="P9" s="3" t="s">
        <v>43</v>
      </c>
    </row>
    <row r="10" customFormat="false" ht="15" hidden="false" customHeight="false" outlineLevel="0" collapsed="false">
      <c r="A10" s="4" t="s">
        <v>63</v>
      </c>
      <c r="B10" s="25" t="n">
        <v>0</v>
      </c>
      <c r="C10" s="25" t="n">
        <v>0</v>
      </c>
      <c r="D10" s="25" t="n">
        <v>5000</v>
      </c>
      <c r="E10" s="25" t="n">
        <v>5000</v>
      </c>
      <c r="F10" s="25" t="n">
        <v>5000</v>
      </c>
      <c r="G10" s="25" t="n">
        <v>5000</v>
      </c>
      <c r="H10" s="25" t="n">
        <v>6000</v>
      </c>
      <c r="I10" s="25" t="n">
        <v>6000</v>
      </c>
      <c r="J10" s="25" t="n">
        <v>7000</v>
      </c>
      <c r="K10" s="25" t="n">
        <v>7000</v>
      </c>
      <c r="L10" s="25" t="n">
        <v>8000</v>
      </c>
      <c r="M10" s="25" t="n">
        <v>8000</v>
      </c>
    </row>
    <row r="11" customFormat="false" ht="15" hidden="false" customHeight="false" outlineLevel="0" collapsed="false">
      <c r="A11" s="4" t="s">
        <v>64</v>
      </c>
      <c r="B11" s="25" t="n">
        <v>0</v>
      </c>
      <c r="C11" s="25" t="n">
        <v>0</v>
      </c>
      <c r="D11" s="25" t="n">
        <v>0</v>
      </c>
      <c r="E11" s="25" t="n">
        <v>12000</v>
      </c>
      <c r="F11" s="25" t="n">
        <v>12000</v>
      </c>
      <c r="G11" s="25" t="n">
        <v>12000</v>
      </c>
      <c r="H11" s="25" t="n">
        <v>12000</v>
      </c>
      <c r="I11" s="25" t="n">
        <v>13000</v>
      </c>
      <c r="J11" s="25" t="n">
        <v>13000</v>
      </c>
      <c r="K11" s="25" t="n">
        <v>13000</v>
      </c>
      <c r="L11" s="25" t="n">
        <v>14000</v>
      </c>
      <c r="M11" s="25" t="n">
        <v>14000</v>
      </c>
    </row>
    <row r="12" customFormat="false" ht="15" hidden="false" customHeight="false" outlineLevel="0" collapsed="false">
      <c r="A12" s="4" t="s">
        <v>65</v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8000</v>
      </c>
      <c r="G12" s="25" t="n">
        <v>8000</v>
      </c>
      <c r="H12" s="25" t="n">
        <v>8000</v>
      </c>
      <c r="I12" s="25" t="n">
        <v>9000</v>
      </c>
      <c r="J12" s="25" t="n">
        <v>9000</v>
      </c>
      <c r="K12" s="25" t="n">
        <v>9000</v>
      </c>
      <c r="L12" s="25" t="n">
        <v>10000</v>
      </c>
      <c r="M12" s="25" t="n">
        <v>10000</v>
      </c>
    </row>
    <row r="13" customFormat="false" ht="15" hidden="false" customHeight="false" outlineLevel="0" collapsed="false">
      <c r="A13" s="4" t="s">
        <v>66</v>
      </c>
      <c r="B13" s="25" t="n">
        <v>200</v>
      </c>
      <c r="C13" s="25" t="n">
        <v>300</v>
      </c>
      <c r="D13" s="25" t="n">
        <v>500</v>
      </c>
      <c r="E13" s="25" t="n">
        <v>800</v>
      </c>
      <c r="F13" s="25" t="n">
        <v>1200</v>
      </c>
      <c r="G13" s="25" t="n">
        <v>1800</v>
      </c>
      <c r="H13" s="25" t="n">
        <v>2500</v>
      </c>
      <c r="I13" s="25" t="n">
        <v>3500</v>
      </c>
      <c r="J13" s="25" t="n">
        <v>4500</v>
      </c>
      <c r="K13" s="25" t="n">
        <v>5500</v>
      </c>
      <c r="L13" s="25" t="n">
        <v>6500</v>
      </c>
      <c r="M13" s="25" t="n">
        <v>8000</v>
      </c>
    </row>
    <row r="14" customFormat="false" ht="15" hidden="false" customHeight="false" outlineLevel="0" collapsed="false">
      <c r="A14" s="4" t="s">
        <v>67</v>
      </c>
      <c r="B14" s="27" t="n">
        <v>300</v>
      </c>
      <c r="C14" s="27" t="n">
        <v>300</v>
      </c>
      <c r="D14" s="27" t="n">
        <v>500</v>
      </c>
      <c r="E14" s="27" t="n">
        <v>500</v>
      </c>
      <c r="F14" s="27" t="n">
        <v>800</v>
      </c>
      <c r="G14" s="27" t="n">
        <v>800</v>
      </c>
      <c r="H14" s="27" t="n">
        <v>1000</v>
      </c>
      <c r="I14" s="27" t="n">
        <v>1000</v>
      </c>
      <c r="J14" s="27" t="n">
        <v>1200</v>
      </c>
      <c r="K14" s="27" t="n">
        <v>1200</v>
      </c>
      <c r="L14" s="27" t="n">
        <v>1500</v>
      </c>
      <c r="M14" s="27" t="n">
        <v>1500</v>
      </c>
    </row>
    <row r="16" customFormat="false" ht="15" hidden="false" customHeight="false" outlineLevel="0" collapsed="false">
      <c r="A16" s="6" t="s">
        <v>68</v>
      </c>
      <c r="B16" s="21" t="n">
        <f aca="false">(B10+B11+B12+B13+B14)*3</f>
        <v>1500</v>
      </c>
      <c r="C16" s="21" t="n">
        <f aca="false">(C10+C11+C12+C13+C14)*3</f>
        <v>1800</v>
      </c>
      <c r="D16" s="21" t="n">
        <f aca="false">(D10+D11+D12+D13+D14)*3</f>
        <v>18000</v>
      </c>
      <c r="E16" s="21" t="n">
        <f aca="false">(E10+E11+E12+E13+E14)*3</f>
        <v>54900</v>
      </c>
      <c r="F16" s="21" t="n">
        <f aca="false">(F10+F11+F12+F13+F14)*3</f>
        <v>81000</v>
      </c>
      <c r="G16" s="21" t="n">
        <f aca="false">(G10+G11+G12+G13+G14)*3</f>
        <v>82800</v>
      </c>
      <c r="H16" s="21" t="n">
        <f aca="false">(H10+H11+H12+H13+H14)*3</f>
        <v>88500</v>
      </c>
      <c r="I16" s="21" t="n">
        <f aca="false">(I10+I11+I12+I13+I14)*3</f>
        <v>97500</v>
      </c>
      <c r="J16" s="21" t="n">
        <f aca="false">(J10+J11+J12+J13+J14)*3</f>
        <v>104100</v>
      </c>
      <c r="K16" s="21" t="n">
        <f aca="false">(K10+K11+K12+K13+K14)*3</f>
        <v>107100</v>
      </c>
      <c r="L16" s="21" t="n">
        <f aca="false">(L10+L11+L12+L13+L14)*3</f>
        <v>120000</v>
      </c>
      <c r="M16" s="21" t="n">
        <f aca="false">(M10+M11+M12+M13+M14)*3</f>
        <v>124500</v>
      </c>
      <c r="N16" s="22" t="n">
        <f aca="false">B16+C16+D16+E16</f>
        <v>76200</v>
      </c>
      <c r="O16" s="22" t="n">
        <f aca="false">F16+G16+H16+I16</f>
        <v>349800</v>
      </c>
      <c r="P16" s="22" t="n">
        <f aca="false">J16+K16+L16+M16</f>
        <v>455700</v>
      </c>
    </row>
    <row r="18" customFormat="false" ht="15" hidden="false" customHeight="false" outlineLevel="0" collapsed="false">
      <c r="A18" s="2" t="s">
        <v>69</v>
      </c>
    </row>
    <row r="19" customFormat="false" ht="15" hidden="false" customHeight="false" outlineLevel="0" collapsed="false">
      <c r="A19" s="28" t="s">
        <v>70</v>
      </c>
      <c r="B19" s="20" t="n">
        <f aca="false">'Revenue Projections'!B14</f>
        <v>765</v>
      </c>
      <c r="C19" s="20" t="n">
        <f aca="false">'Revenue Projections'!C14</f>
        <v>2784.6</v>
      </c>
      <c r="D19" s="20" t="n">
        <f aca="false">'Revenue Projections'!D14</f>
        <v>8063.1</v>
      </c>
      <c r="E19" s="20" t="n">
        <f aca="false">'Revenue Projections'!E14</f>
        <v>18375.3</v>
      </c>
      <c r="F19" s="20" t="n">
        <f aca="false">'Revenue Projections'!F14</f>
        <v>37469.7</v>
      </c>
      <c r="G19" s="20" t="n">
        <f aca="false">'Revenue Projections'!G14</f>
        <v>68972.4</v>
      </c>
      <c r="H19" s="20" t="n">
        <f aca="false">'Revenue Projections'!H14</f>
        <v>118789.2</v>
      </c>
      <c r="I19" s="20" t="n">
        <f aca="false">'Revenue Projections'!I14</f>
        <v>192764.7</v>
      </c>
      <c r="J19" s="20" t="n">
        <f aca="false">'Revenue Projections'!J14</f>
        <v>289139.4</v>
      </c>
      <c r="K19" s="20" t="n">
        <f aca="false">'Revenue Projections'!K14</f>
        <v>407439</v>
      </c>
      <c r="L19" s="20" t="n">
        <f aca="false">'Revenue Projections'!L14</f>
        <v>542140.2</v>
      </c>
      <c r="M19" s="20" t="n">
        <f aca="false">'Revenue Projections'!M14</f>
        <v>714708.9</v>
      </c>
      <c r="N19" s="20" t="n">
        <f aca="false">B19+C19+D19+E19</f>
        <v>29988</v>
      </c>
      <c r="O19" s="20" t="n">
        <f aca="false">F19+G19+H19+I19</f>
        <v>417996</v>
      </c>
      <c r="P19" s="20" t="n">
        <f aca="false">J19+K19+L19+M19</f>
        <v>1953427.5</v>
      </c>
    </row>
    <row r="20" customFormat="false" ht="15" hidden="false" customHeight="false" outlineLevel="0" collapsed="false">
      <c r="A20" s="28" t="s">
        <v>71</v>
      </c>
      <c r="B20" s="20" t="n">
        <f aca="false">'Revenue Projections'!B18</f>
        <v>278.175</v>
      </c>
      <c r="C20" s="20" t="n">
        <f aca="false">'Revenue Projections'!C18</f>
        <v>1012.557</v>
      </c>
      <c r="D20" s="20" t="n">
        <f aca="false">'Revenue Projections'!D18</f>
        <v>2931.9645</v>
      </c>
      <c r="E20" s="20" t="n">
        <f aca="false">'Revenue Projections'!E18</f>
        <v>6681.7635</v>
      </c>
      <c r="F20" s="20" t="n">
        <f aca="false">'Revenue Projections'!F18</f>
        <v>13625.0115</v>
      </c>
      <c r="G20" s="20" t="n">
        <f aca="false">'Revenue Projections'!G18</f>
        <v>25080.258</v>
      </c>
      <c r="H20" s="20" t="n">
        <f aca="false">'Revenue Projections'!H18</f>
        <v>43195.014</v>
      </c>
      <c r="I20" s="20" t="n">
        <f aca="false">'Revenue Projections'!I18</f>
        <v>70094.5365</v>
      </c>
      <c r="J20" s="20" t="n">
        <f aca="false">'Revenue Projections'!J18</f>
        <v>105139.023</v>
      </c>
      <c r="K20" s="20" t="n">
        <f aca="false">'Revenue Projections'!K18</f>
        <v>148156.005</v>
      </c>
      <c r="L20" s="20" t="n">
        <f aca="false">'Revenue Projections'!L18</f>
        <v>197137.059</v>
      </c>
      <c r="M20" s="20" t="n">
        <f aca="false">'Revenue Projections'!M18</f>
        <v>259887.7755</v>
      </c>
      <c r="N20" s="20" t="n">
        <f aca="false">B20+C20+D20+E20</f>
        <v>10904.46</v>
      </c>
      <c r="O20" s="20" t="n">
        <f aca="false">F20+G20+H20+I20</f>
        <v>151994.82</v>
      </c>
      <c r="P20" s="20" t="n">
        <f aca="false">J20+K20+L20+M20</f>
        <v>710319.8625</v>
      </c>
    </row>
    <row r="21" customFormat="false" ht="15" hidden="false" customHeight="false" outlineLevel="0" collapsed="false">
      <c r="A21" s="6" t="s">
        <v>72</v>
      </c>
      <c r="B21" s="22" t="n">
        <f aca="false">B16+B20</f>
        <v>1778.175</v>
      </c>
      <c r="C21" s="22" t="n">
        <f aca="false">C16+C20</f>
        <v>2812.557</v>
      </c>
      <c r="D21" s="22" t="n">
        <f aca="false">D16+D20</f>
        <v>20931.9645</v>
      </c>
      <c r="E21" s="22" t="n">
        <f aca="false">E16+E20</f>
        <v>61581.7635</v>
      </c>
      <c r="F21" s="22" t="n">
        <f aca="false">F16+F20</f>
        <v>94625.0115</v>
      </c>
      <c r="G21" s="22" t="n">
        <f aca="false">G16+G20</f>
        <v>107880.258</v>
      </c>
      <c r="H21" s="22" t="n">
        <f aca="false">H16+H20</f>
        <v>131695.014</v>
      </c>
      <c r="I21" s="22" t="n">
        <f aca="false">I16+I20</f>
        <v>167594.5365</v>
      </c>
      <c r="J21" s="22" t="n">
        <f aca="false">J16+J20</f>
        <v>209239.023</v>
      </c>
      <c r="K21" s="22" t="n">
        <f aca="false">K16+K20</f>
        <v>255256.005</v>
      </c>
      <c r="L21" s="22" t="n">
        <f aca="false">L16+L20</f>
        <v>317137.059</v>
      </c>
      <c r="M21" s="22" t="n">
        <f aca="false">M16+M20</f>
        <v>384387.7755</v>
      </c>
      <c r="N21" s="22" t="n">
        <f aca="false">B21+C21+D21+E21</f>
        <v>87104.46</v>
      </c>
      <c r="O21" s="22" t="n">
        <f aca="false">F21+G21+H21+I21</f>
        <v>501794.82</v>
      </c>
      <c r="P21" s="22" t="n">
        <f aca="false">J21+K21+L21+M21</f>
        <v>1166019.8625</v>
      </c>
    </row>
    <row r="22" customFormat="false" ht="15" hidden="false" customHeight="false" outlineLevel="0" collapsed="false">
      <c r="A22" s="6" t="s">
        <v>73</v>
      </c>
      <c r="B22" s="29" t="n">
        <f aca="false">B19-B21</f>
        <v>-1013.175</v>
      </c>
      <c r="C22" s="29" t="n">
        <f aca="false">C19-C21</f>
        <v>-27.9569999999999</v>
      </c>
      <c r="D22" s="29" t="n">
        <f aca="false">D19-D21</f>
        <v>-12868.8645</v>
      </c>
      <c r="E22" s="29" t="n">
        <f aca="false">E19-E21</f>
        <v>-43206.4635</v>
      </c>
      <c r="F22" s="29" t="n">
        <f aca="false">F19-F21</f>
        <v>-57155.3115</v>
      </c>
      <c r="G22" s="29" t="n">
        <f aca="false">G19-G21</f>
        <v>-38907.858</v>
      </c>
      <c r="H22" s="29" t="n">
        <f aca="false">H19-H21</f>
        <v>-12905.814</v>
      </c>
      <c r="I22" s="29" t="n">
        <f aca="false">I19-I21</f>
        <v>25170.1635</v>
      </c>
      <c r="J22" s="29" t="n">
        <f aca="false">J19-J21</f>
        <v>79900.377</v>
      </c>
      <c r="K22" s="29" t="n">
        <f aca="false">K19-K21</f>
        <v>152182.995</v>
      </c>
      <c r="L22" s="29" t="n">
        <f aca="false">L19-L21</f>
        <v>225003.141</v>
      </c>
      <c r="M22" s="29" t="n">
        <f aca="false">M19-M21</f>
        <v>330321.1245</v>
      </c>
      <c r="N22" s="24" t="n">
        <f aca="false">B22+C22+D22+E22</f>
        <v>-57116.46</v>
      </c>
      <c r="O22" s="24" t="n">
        <f aca="false">F22+G22+H22+I22</f>
        <v>-83798.82</v>
      </c>
      <c r="P22" s="24" t="n">
        <f aca="false">J22+K22+L22+M22</f>
        <v>787407.6375</v>
      </c>
    </row>
    <row r="24" customFormat="false" ht="15" hidden="false" customHeight="false" outlineLevel="0" collapsed="false">
      <c r="A24" s="6" t="s">
        <v>74</v>
      </c>
      <c r="B24" s="24" t="n">
        <f aca="false">B4+B22</f>
        <v>748986.825</v>
      </c>
      <c r="C24" s="24" t="n">
        <f aca="false">B24+C22</f>
        <v>748958.868</v>
      </c>
      <c r="D24" s="24" t="n">
        <f aca="false">C24+D22</f>
        <v>736090.0035</v>
      </c>
      <c r="E24" s="24" t="n">
        <f aca="false">D24+E22</f>
        <v>692883.54</v>
      </c>
      <c r="F24" s="24" t="n">
        <f aca="false">E24+F22</f>
        <v>635728.2285</v>
      </c>
      <c r="G24" s="24" t="n">
        <f aca="false">F24+G22</f>
        <v>596820.3705</v>
      </c>
      <c r="H24" s="24" t="n">
        <f aca="false">G24+H22</f>
        <v>583914.5565</v>
      </c>
      <c r="I24" s="24" t="n">
        <f aca="false">H24+I22</f>
        <v>609084.72</v>
      </c>
      <c r="J24" s="24" t="n">
        <f aca="false">I24+J22</f>
        <v>688985.097</v>
      </c>
      <c r="K24" s="24" t="n">
        <f aca="false">J24+K22</f>
        <v>841168.092</v>
      </c>
      <c r="L24" s="24" t="n">
        <f aca="false">K24+L22</f>
        <v>1066171.233</v>
      </c>
      <c r="M24" s="24" t="n">
        <f aca="false">L24+M22</f>
        <v>1396492.3575</v>
      </c>
    </row>
    <row r="25" customFormat="false" ht="15" hidden="false" customHeight="false" outlineLevel="0" collapsed="false">
      <c r="A25" s="6" t="s">
        <v>75</v>
      </c>
      <c r="B25" s="30" t="n">
        <f aca="false">IF(B22&gt;=0,"∞",B24/(-B22/3))</f>
        <v>2217.74172773706</v>
      </c>
      <c r="C25" s="30" t="n">
        <f aca="false">IF(C22&gt;=0,"∞",C24/(-C22/3))</f>
        <v>80369.0168473016</v>
      </c>
      <c r="D25" s="30" t="n">
        <f aca="false">IF(D22&gt;=0,"∞",D24/(-D22/3))</f>
        <v>171.597891212546</v>
      </c>
      <c r="E25" s="30" t="n">
        <f aca="false">IF(E22&gt;=0,"∞",E24/(-E22/3))</f>
        <v>48.1097144180754</v>
      </c>
      <c r="F25" s="30" t="n">
        <f aca="false">IF(F22&gt;=0,"∞",F24/(-F22/3))</f>
        <v>33.3684592988353</v>
      </c>
      <c r="G25" s="30" t="n">
        <f aca="false">IF(G22&gt;=0,"∞",G24/(-G22/3))</f>
        <v>46.0179820616185</v>
      </c>
      <c r="H25" s="30" t="n">
        <f aca="false">IF(H22&gt;=0,"∞",H24/(-H22/3))</f>
        <v>135.732908400818</v>
      </c>
      <c r="I25" s="30" t="str">
        <f aca="false">IF(I22&gt;=0,"∞",I24/(-I22/3))</f>
        <v>∞</v>
      </c>
      <c r="J25" s="30" t="str">
        <f aca="false">IF(J22&gt;=0,"∞",J24/(-J22/3))</f>
        <v>∞</v>
      </c>
      <c r="K25" s="30" t="str">
        <f aca="false">IF(K22&gt;=0,"∞",K24/(-K22/3))</f>
        <v>∞</v>
      </c>
      <c r="L25" s="30" t="str">
        <f aca="false">IF(L22&gt;=0,"∞",L24/(-L22/3))</f>
        <v>∞</v>
      </c>
      <c r="M25" s="30" t="str">
        <f aca="false">IF(M22&gt;=0,"∞",M24/(-M22/3))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2" t="s">
        <v>77</v>
      </c>
    </row>
    <row r="4" customFormat="false" ht="15" hidden="false" customHeight="false" outlineLevel="0" collapsed="false">
      <c r="A4" s="3" t="s">
        <v>28</v>
      </c>
      <c r="B4" s="3" t="s">
        <v>78</v>
      </c>
      <c r="C4" s="3" t="s">
        <v>79</v>
      </c>
      <c r="D4" s="3" t="s">
        <v>80</v>
      </c>
    </row>
    <row r="5" customFormat="false" ht="15" hidden="false" customHeight="false" outlineLevel="0" collapsed="false">
      <c r="A5" s="31" t="s">
        <v>81</v>
      </c>
      <c r="B5" s="32" t="s">
        <v>82</v>
      </c>
      <c r="C5" s="33" t="s">
        <v>83</v>
      </c>
      <c r="D5" s="33" t="s">
        <v>84</v>
      </c>
    </row>
    <row r="6" customFormat="false" ht="15" hidden="false" customHeight="false" outlineLevel="0" collapsed="false">
      <c r="A6" s="4" t="s">
        <v>85</v>
      </c>
      <c r="B6" s="6" t="s">
        <v>86</v>
      </c>
      <c r="C6" s="11" t="s">
        <v>87</v>
      </c>
      <c r="D6" s="11" t="s">
        <v>88</v>
      </c>
    </row>
    <row r="7" customFormat="false" ht="15" hidden="false" customHeight="false" outlineLevel="0" collapsed="false">
      <c r="A7" s="31" t="s">
        <v>89</v>
      </c>
      <c r="B7" s="32" t="s">
        <v>90</v>
      </c>
      <c r="C7" s="33" t="s">
        <v>87</v>
      </c>
      <c r="D7" s="33" t="s">
        <v>91</v>
      </c>
    </row>
    <row r="8" customFormat="false" ht="15" hidden="false" customHeight="false" outlineLevel="0" collapsed="false">
      <c r="A8" s="4" t="s">
        <v>92</v>
      </c>
      <c r="B8" s="6" t="s">
        <v>93</v>
      </c>
      <c r="C8" s="11" t="s">
        <v>94</v>
      </c>
      <c r="D8" s="11" t="s">
        <v>84</v>
      </c>
    </row>
    <row r="9" customFormat="false" ht="15" hidden="false" customHeight="false" outlineLevel="0" collapsed="false">
      <c r="A9" s="31" t="s">
        <v>95</v>
      </c>
      <c r="B9" s="32" t="s">
        <v>96</v>
      </c>
      <c r="C9" s="33" t="s">
        <v>97</v>
      </c>
      <c r="D9" s="33" t="s">
        <v>98</v>
      </c>
    </row>
    <row r="11" customFormat="false" ht="15" hidden="false" customHeight="false" outlineLevel="0" collapsed="false">
      <c r="A11" s="2" t="s">
        <v>99</v>
      </c>
    </row>
    <row r="12" customFormat="false" ht="15" hidden="false" customHeight="false" outlineLevel="0" collapsed="false">
      <c r="A12" s="3" t="s">
        <v>28</v>
      </c>
      <c r="B12" s="3" t="s">
        <v>78</v>
      </c>
      <c r="C12" s="3" t="s">
        <v>79</v>
      </c>
      <c r="D12" s="3" t="s">
        <v>80</v>
      </c>
    </row>
    <row r="13" customFormat="false" ht="15" hidden="false" customHeight="false" outlineLevel="0" collapsed="false">
      <c r="A13" s="31" t="s">
        <v>100</v>
      </c>
      <c r="B13" s="32" t="s">
        <v>101</v>
      </c>
      <c r="C13" s="33" t="s">
        <v>102</v>
      </c>
      <c r="D13" s="33" t="s">
        <v>84</v>
      </c>
    </row>
    <row r="14" customFormat="false" ht="15" hidden="false" customHeight="false" outlineLevel="0" collapsed="false">
      <c r="A14" s="4" t="s">
        <v>103</v>
      </c>
      <c r="B14" s="6" t="s">
        <v>104</v>
      </c>
      <c r="C14" s="11" t="s">
        <v>105</v>
      </c>
      <c r="D14" s="11" t="s">
        <v>106</v>
      </c>
    </row>
    <row r="15" customFormat="false" ht="15" hidden="false" customHeight="false" outlineLevel="0" collapsed="false">
      <c r="A15" s="31" t="s">
        <v>107</v>
      </c>
      <c r="B15" s="32" t="s">
        <v>108</v>
      </c>
      <c r="C15" s="33" t="s">
        <v>109</v>
      </c>
      <c r="D15" s="33" t="s">
        <v>106</v>
      </c>
    </row>
    <row r="16" customFormat="false" ht="15" hidden="false" customHeight="false" outlineLevel="0" collapsed="false">
      <c r="A16" s="4" t="s">
        <v>110</v>
      </c>
      <c r="B16" s="6" t="s">
        <v>111</v>
      </c>
      <c r="C16" s="11" t="s">
        <v>112</v>
      </c>
      <c r="D16" s="11" t="s">
        <v>106</v>
      </c>
    </row>
    <row r="17" customFormat="false" ht="15" hidden="false" customHeight="false" outlineLevel="0" collapsed="false">
      <c r="A17" s="31" t="s">
        <v>113</v>
      </c>
      <c r="B17" s="32" t="s">
        <v>114</v>
      </c>
      <c r="C17" s="33" t="s">
        <v>115</v>
      </c>
      <c r="D17" s="33" t="s">
        <v>116</v>
      </c>
    </row>
    <row r="18" customFormat="false" ht="15" hidden="false" customHeight="false" outlineLevel="0" collapsed="false">
      <c r="A18" s="4" t="s">
        <v>117</v>
      </c>
      <c r="B18" s="6" t="s">
        <v>118</v>
      </c>
      <c r="C18" s="11" t="s">
        <v>119</v>
      </c>
      <c r="D18" s="11" t="s">
        <v>120</v>
      </c>
    </row>
    <row r="19" customFormat="false" ht="15" hidden="false" customHeight="false" outlineLevel="0" collapsed="false">
      <c r="A19" s="31" t="s">
        <v>121</v>
      </c>
      <c r="B19" s="32" t="s">
        <v>122</v>
      </c>
      <c r="C19" s="33" t="s">
        <v>123</v>
      </c>
      <c r="D19" s="33" t="s">
        <v>116</v>
      </c>
    </row>
    <row r="20" customFormat="false" ht="15" hidden="false" customHeight="false" outlineLevel="0" collapsed="false">
      <c r="A20" s="4" t="s">
        <v>124</v>
      </c>
      <c r="B20" s="6" t="s">
        <v>125</v>
      </c>
      <c r="C20" s="11" t="s">
        <v>126</v>
      </c>
      <c r="D20" s="11" t="s">
        <v>116</v>
      </c>
    </row>
    <row r="22" customFormat="false" ht="15" hidden="false" customHeight="false" outlineLevel="0" collapsed="false">
      <c r="A22" s="2" t="s">
        <v>127</v>
      </c>
    </row>
    <row r="23" customFormat="false" ht="15" hidden="false" customHeight="false" outlineLevel="0" collapsed="false">
      <c r="A23" s="3" t="s">
        <v>28</v>
      </c>
      <c r="B23" s="3" t="s">
        <v>78</v>
      </c>
      <c r="C23" s="3" t="s">
        <v>79</v>
      </c>
      <c r="D23" s="3" t="s">
        <v>80</v>
      </c>
    </row>
    <row r="24" customFormat="false" ht="15" hidden="false" customHeight="false" outlineLevel="0" collapsed="false">
      <c r="A24" s="31" t="s">
        <v>128</v>
      </c>
      <c r="B24" s="32" t="s">
        <v>129</v>
      </c>
      <c r="C24" s="33" t="s">
        <v>130</v>
      </c>
      <c r="D24" s="33" t="s">
        <v>106</v>
      </c>
    </row>
    <row r="25" customFormat="false" ht="15" hidden="false" customHeight="false" outlineLevel="0" collapsed="false">
      <c r="A25" s="4" t="s">
        <v>131</v>
      </c>
      <c r="B25" s="6" t="s">
        <v>132</v>
      </c>
      <c r="C25" s="11" t="s">
        <v>133</v>
      </c>
      <c r="D25" s="11" t="s">
        <v>134</v>
      </c>
    </row>
    <row r="26" customFormat="false" ht="15" hidden="false" customHeight="false" outlineLevel="0" collapsed="false">
      <c r="A26" s="31" t="s">
        <v>135</v>
      </c>
      <c r="B26" s="32" t="s">
        <v>136</v>
      </c>
      <c r="C26" s="33" t="s">
        <v>137</v>
      </c>
      <c r="D26" s="33" t="s">
        <v>116</v>
      </c>
    </row>
    <row r="27" customFormat="false" ht="15" hidden="false" customHeight="false" outlineLevel="0" collapsed="false">
      <c r="A27" s="4" t="s">
        <v>138</v>
      </c>
      <c r="B27" s="6" t="s">
        <v>139</v>
      </c>
      <c r="C27" s="11" t="s">
        <v>140</v>
      </c>
      <c r="D27" s="11" t="s">
        <v>141</v>
      </c>
    </row>
    <row r="28" customFormat="false" ht="15" hidden="false" customHeight="false" outlineLevel="0" collapsed="false">
      <c r="A28" s="31" t="s">
        <v>142</v>
      </c>
      <c r="B28" s="32" t="s">
        <v>143</v>
      </c>
      <c r="C28" s="33" t="s">
        <v>144</v>
      </c>
      <c r="D28" s="33" t="s">
        <v>116</v>
      </c>
    </row>
    <row r="29" customFormat="false" ht="15" hidden="false" customHeight="false" outlineLevel="0" collapsed="false">
      <c r="A29" s="4" t="s">
        <v>145</v>
      </c>
      <c r="B29" s="6" t="s">
        <v>146</v>
      </c>
      <c r="C29" s="11" t="s">
        <v>147</v>
      </c>
      <c r="D29" s="11" t="s">
        <v>148</v>
      </c>
    </row>
    <row r="31" customFormat="false" ht="15" hidden="false" customHeight="false" outlineLevel="0" collapsed="false">
      <c r="A31" s="2" t="s">
        <v>149</v>
      </c>
    </row>
    <row r="32" customFormat="false" ht="15" hidden="false" customHeight="false" outlineLevel="0" collapsed="false">
      <c r="A32" s="6" t="s">
        <v>150</v>
      </c>
      <c r="B32" s="4" t="s">
        <v>151</v>
      </c>
      <c r="C32" s="11" t="s">
        <v>152</v>
      </c>
    </row>
    <row r="33" customFormat="false" ht="15" hidden="false" customHeight="false" outlineLevel="0" collapsed="false">
      <c r="A33" s="6" t="s">
        <v>153</v>
      </c>
      <c r="B33" s="4" t="s">
        <v>154</v>
      </c>
      <c r="C33" s="11" t="s">
        <v>155</v>
      </c>
    </row>
    <row r="34" customFormat="false" ht="15" hidden="false" customHeight="false" outlineLevel="0" collapsed="false">
      <c r="A34" s="6" t="s">
        <v>156</v>
      </c>
      <c r="B34" s="4" t="s">
        <v>157</v>
      </c>
      <c r="C34" s="11" t="s">
        <v>158</v>
      </c>
    </row>
    <row r="35" customFormat="false" ht="15" hidden="false" customHeight="false" outlineLevel="0" collapsed="false">
      <c r="A35" s="6" t="s">
        <v>159</v>
      </c>
      <c r="B35" s="4" t="s">
        <v>160</v>
      </c>
      <c r="C35" s="11" t="s">
        <v>161</v>
      </c>
    </row>
    <row r="37" customFormat="false" ht="15" hidden="false" customHeight="false" outlineLevel="0" collapsed="false">
      <c r="A37" s="2" t="s">
        <v>162</v>
      </c>
    </row>
    <row r="38" customFormat="false" ht="15" hidden="false" customHeight="false" outlineLevel="0" collapsed="false">
      <c r="A38" s="3" t="s">
        <v>163</v>
      </c>
      <c r="B38" s="3" t="s">
        <v>164</v>
      </c>
      <c r="C38" s="3" t="s">
        <v>165</v>
      </c>
      <c r="D38" s="3" t="s">
        <v>166</v>
      </c>
    </row>
    <row r="39" customFormat="false" ht="15" hidden="false" customHeight="false" outlineLevel="0" collapsed="false">
      <c r="A39" s="32" t="s">
        <v>167</v>
      </c>
      <c r="B39" s="31" t="s">
        <v>168</v>
      </c>
      <c r="C39" s="33" t="s">
        <v>169</v>
      </c>
      <c r="D39" s="34" t="s">
        <v>170</v>
      </c>
    </row>
    <row r="40" customFormat="false" ht="15" hidden="false" customHeight="false" outlineLevel="0" collapsed="false">
      <c r="A40" s="6" t="s">
        <v>171</v>
      </c>
      <c r="B40" s="4" t="s">
        <v>172</v>
      </c>
      <c r="C40" s="11" t="s">
        <v>173</v>
      </c>
      <c r="D40" s="35" t="s">
        <v>174</v>
      </c>
    </row>
    <row r="41" customFormat="false" ht="15" hidden="false" customHeight="false" outlineLevel="0" collapsed="false">
      <c r="A41" s="32" t="s">
        <v>175</v>
      </c>
      <c r="B41" s="31" t="s">
        <v>176</v>
      </c>
      <c r="C41" s="33" t="s">
        <v>177</v>
      </c>
      <c r="D41" s="34" t="s">
        <v>178</v>
      </c>
    </row>
    <row r="42" customFormat="false" ht="15" hidden="false" customHeight="false" outlineLevel="0" collapsed="false">
      <c r="A42" s="6" t="s">
        <v>179</v>
      </c>
      <c r="B42" s="4" t="s">
        <v>180</v>
      </c>
      <c r="C42" s="11" t="s">
        <v>181</v>
      </c>
      <c r="D42" s="35" t="s">
        <v>182</v>
      </c>
    </row>
    <row r="43" customFormat="false" ht="15" hidden="false" customHeight="false" outlineLevel="0" collapsed="false">
      <c r="A43" s="32" t="s">
        <v>183</v>
      </c>
      <c r="B43" s="31" t="s">
        <v>184</v>
      </c>
      <c r="C43" s="33" t="s">
        <v>185</v>
      </c>
      <c r="D43" s="34" t="s">
        <v>186</v>
      </c>
    </row>
    <row r="44" customFormat="false" ht="15" hidden="false" customHeight="false" outlineLevel="0" collapsed="false">
      <c r="A44" s="6" t="s">
        <v>187</v>
      </c>
      <c r="B44" s="4" t="s">
        <v>188</v>
      </c>
      <c r="C44" s="11" t="s">
        <v>185</v>
      </c>
      <c r="D44" s="35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11" t="s">
        <v>191</v>
      </c>
    </row>
    <row r="4" customFormat="false" ht="15" hidden="false" customHeight="false" outlineLevel="0" collapsed="false">
      <c r="A4" s="2" t="s">
        <v>192</v>
      </c>
    </row>
    <row r="5" customFormat="false" ht="15" hidden="false" customHeight="false" outlineLevel="0" collapsed="false">
      <c r="A5" s="3" t="s">
        <v>193</v>
      </c>
      <c r="B5" s="3" t="s">
        <v>194</v>
      </c>
      <c r="C5" s="3" t="s">
        <v>195</v>
      </c>
      <c r="D5" s="3" t="s">
        <v>196</v>
      </c>
      <c r="E5" s="3" t="s">
        <v>197</v>
      </c>
      <c r="F5" s="3" t="s">
        <v>198</v>
      </c>
      <c r="G5" s="3" t="s">
        <v>199</v>
      </c>
      <c r="H5" s="3" t="s">
        <v>200</v>
      </c>
    </row>
    <row r="6" customFormat="false" ht="45" hidden="false" customHeight="true" outlineLevel="0" collapsed="false">
      <c r="A6" s="36" t="s">
        <v>201</v>
      </c>
      <c r="B6" s="37" t="s">
        <v>202</v>
      </c>
      <c r="C6" s="37" t="s">
        <v>203</v>
      </c>
      <c r="D6" s="37" t="s">
        <v>204</v>
      </c>
      <c r="E6" s="37" t="s">
        <v>205</v>
      </c>
      <c r="F6" s="37" t="s">
        <v>206</v>
      </c>
      <c r="G6" s="37" t="s">
        <v>207</v>
      </c>
      <c r="H6" s="38" t="s">
        <v>208</v>
      </c>
    </row>
    <row r="7" customFormat="false" ht="45" hidden="false" customHeight="true" outlineLevel="0" collapsed="false">
      <c r="A7" s="39" t="s">
        <v>209</v>
      </c>
      <c r="B7" s="40" t="s">
        <v>210</v>
      </c>
      <c r="C7" s="40" t="s">
        <v>211</v>
      </c>
      <c r="D7" s="40" t="s">
        <v>212</v>
      </c>
      <c r="E7" s="40" t="s">
        <v>213</v>
      </c>
      <c r="F7" s="40" t="s">
        <v>214</v>
      </c>
      <c r="G7" s="40" t="s">
        <v>215</v>
      </c>
      <c r="H7" s="41" t="s">
        <v>216</v>
      </c>
    </row>
    <row r="8" customFormat="false" ht="45" hidden="false" customHeight="true" outlineLevel="0" collapsed="false">
      <c r="A8" s="36" t="s">
        <v>217</v>
      </c>
      <c r="B8" s="37" t="s">
        <v>218</v>
      </c>
      <c r="C8" s="37" t="s">
        <v>219</v>
      </c>
      <c r="D8" s="37" t="s">
        <v>220</v>
      </c>
      <c r="E8" s="37" t="s">
        <v>221</v>
      </c>
      <c r="F8" s="37" t="s">
        <v>222</v>
      </c>
      <c r="G8" s="37" t="s">
        <v>223</v>
      </c>
      <c r="H8" s="38" t="s">
        <v>224</v>
      </c>
    </row>
    <row r="9" customFormat="false" ht="45" hidden="false" customHeight="true" outlineLevel="0" collapsed="false">
      <c r="A9" s="39" t="s">
        <v>225</v>
      </c>
      <c r="B9" s="40" t="s">
        <v>226</v>
      </c>
      <c r="C9" s="40" t="s">
        <v>227</v>
      </c>
      <c r="D9" s="40" t="s">
        <v>228</v>
      </c>
      <c r="E9" s="40" t="s">
        <v>229</v>
      </c>
      <c r="F9" s="40" t="s">
        <v>230</v>
      </c>
      <c r="G9" s="40" t="s">
        <v>231</v>
      </c>
      <c r="H9" s="41" t="s">
        <v>232</v>
      </c>
    </row>
    <row r="10" customFormat="false" ht="45" hidden="false" customHeight="true" outlineLevel="0" collapsed="false">
      <c r="A10" s="36" t="s">
        <v>233</v>
      </c>
      <c r="B10" s="37" t="s">
        <v>234</v>
      </c>
      <c r="C10" s="37" t="s">
        <v>235</v>
      </c>
      <c r="D10" s="37" t="s">
        <v>236</v>
      </c>
      <c r="E10" s="37" t="s">
        <v>237</v>
      </c>
      <c r="F10" s="37" t="s">
        <v>238</v>
      </c>
      <c r="G10" s="37" t="s">
        <v>235</v>
      </c>
      <c r="H10" s="38" t="s">
        <v>239</v>
      </c>
    </row>
    <row r="13" customFormat="false" ht="15" hidden="false" customHeight="false" outlineLevel="0" collapsed="false">
      <c r="A13" s="2" t="s">
        <v>240</v>
      </c>
    </row>
    <row r="14" customFormat="false" ht="15" hidden="false" customHeight="false" outlineLevel="0" collapsed="false">
      <c r="A14" s="3" t="s">
        <v>165</v>
      </c>
      <c r="B14" s="3" t="s">
        <v>241</v>
      </c>
      <c r="C14" s="3" t="s">
        <v>242</v>
      </c>
      <c r="D14" s="3" t="s">
        <v>243</v>
      </c>
    </row>
    <row r="15" customFormat="false" ht="15" hidden="false" customHeight="false" outlineLevel="0" collapsed="false">
      <c r="A15" s="31" t="s">
        <v>244</v>
      </c>
      <c r="B15" s="42" t="n">
        <v>90000</v>
      </c>
      <c r="C15" s="43" t="n">
        <f aca="false">B15/750000</f>
        <v>0.12</v>
      </c>
      <c r="D15" s="33" t="s">
        <v>245</v>
      </c>
    </row>
    <row r="16" customFormat="false" ht="15" hidden="false" customHeight="false" outlineLevel="0" collapsed="false">
      <c r="A16" s="4" t="s">
        <v>246</v>
      </c>
      <c r="B16" s="27" t="n">
        <v>156000</v>
      </c>
      <c r="C16" s="26" t="n">
        <f aca="false">B16/750000</f>
        <v>0.208</v>
      </c>
      <c r="D16" s="11" t="s">
        <v>247</v>
      </c>
    </row>
    <row r="17" customFormat="false" ht="15" hidden="false" customHeight="false" outlineLevel="0" collapsed="false">
      <c r="A17" s="31" t="s">
        <v>248</v>
      </c>
      <c r="B17" s="42" t="n">
        <v>90000</v>
      </c>
      <c r="C17" s="43" t="n">
        <f aca="false">B17/750000</f>
        <v>0.12</v>
      </c>
      <c r="D17" s="33" t="s">
        <v>249</v>
      </c>
    </row>
    <row r="18" customFormat="false" ht="15" hidden="false" customHeight="false" outlineLevel="0" collapsed="false">
      <c r="A18" s="4" t="s">
        <v>250</v>
      </c>
      <c r="B18" s="27" t="n">
        <v>54000</v>
      </c>
      <c r="C18" s="26" t="n">
        <f aca="false">B18/750000</f>
        <v>0.072</v>
      </c>
      <c r="D18" s="11" t="s">
        <v>251</v>
      </c>
    </row>
    <row r="19" customFormat="false" ht="15" hidden="false" customHeight="false" outlineLevel="0" collapsed="false">
      <c r="A19" s="31" t="s">
        <v>252</v>
      </c>
      <c r="B19" s="42" t="n">
        <v>30000</v>
      </c>
      <c r="C19" s="43" t="n">
        <f aca="false">B19/750000</f>
        <v>0.04</v>
      </c>
      <c r="D19" s="33" t="s">
        <v>253</v>
      </c>
    </row>
    <row r="20" customFormat="false" ht="15" hidden="false" customHeight="false" outlineLevel="0" collapsed="false">
      <c r="A20" s="4" t="s">
        <v>254</v>
      </c>
      <c r="B20" s="27" t="n">
        <v>18000</v>
      </c>
      <c r="C20" s="26" t="n">
        <f aca="false">B20/750000</f>
        <v>0.024</v>
      </c>
      <c r="D20" s="11" t="s">
        <v>255</v>
      </c>
    </row>
    <row r="21" customFormat="false" ht="15" hidden="false" customHeight="false" outlineLevel="0" collapsed="false">
      <c r="A21" s="31" t="s">
        <v>256</v>
      </c>
      <c r="B21" s="42" t="n">
        <v>312000</v>
      </c>
      <c r="C21" s="43" t="n">
        <f aca="false">B21/750000</f>
        <v>0.416</v>
      </c>
      <c r="D21" s="33" t="s">
        <v>257</v>
      </c>
    </row>
    <row r="22" customFormat="false" ht="15" hidden="false" customHeight="false" outlineLevel="0" collapsed="false">
      <c r="A22" s="6" t="s">
        <v>258</v>
      </c>
      <c r="B22" s="21" t="n">
        <f aca="false">SUM(B15:B21)</f>
        <v>750000</v>
      </c>
      <c r="C22" s="10" t="n">
        <f aca="false">SUM(C15:C21)</f>
        <v>1</v>
      </c>
    </row>
    <row r="24" customFormat="false" ht="15" hidden="false" customHeight="false" outlineLevel="0" collapsed="false">
      <c r="A24" s="2" t="s">
        <v>259</v>
      </c>
    </row>
    <row r="25" customFormat="false" ht="15" hidden="false" customHeight="false" outlineLevel="0" collapsed="false">
      <c r="A25" s="3" t="s">
        <v>260</v>
      </c>
      <c r="B25" s="3" t="s">
        <v>261</v>
      </c>
      <c r="C25" s="3" t="s">
        <v>200</v>
      </c>
    </row>
    <row r="26" customFormat="false" ht="15" hidden="false" customHeight="false" outlineLevel="0" collapsed="false">
      <c r="A26" s="32" t="s">
        <v>262</v>
      </c>
      <c r="B26" s="31" t="s">
        <v>263</v>
      </c>
      <c r="C26" s="44" t="s">
        <v>264</v>
      </c>
    </row>
    <row r="27" customFormat="false" ht="15" hidden="false" customHeight="false" outlineLevel="0" collapsed="false">
      <c r="A27" s="6" t="s">
        <v>265</v>
      </c>
      <c r="B27" s="4" t="s">
        <v>266</v>
      </c>
      <c r="C27" s="45" t="s">
        <v>267</v>
      </c>
    </row>
    <row r="28" customFormat="false" ht="15" hidden="false" customHeight="false" outlineLevel="0" collapsed="false">
      <c r="A28" s="32" t="s">
        <v>268</v>
      </c>
      <c r="B28" s="31" t="s">
        <v>269</v>
      </c>
      <c r="C28" s="44" t="s">
        <v>270</v>
      </c>
    </row>
    <row r="29" customFormat="false" ht="15" hidden="false" customHeight="false" outlineLevel="0" collapsed="false">
      <c r="A29" s="6" t="s">
        <v>271</v>
      </c>
      <c r="B29" s="4" t="s">
        <v>272</v>
      </c>
      <c r="C29" s="45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2026-02-24T04:00:14Z</dcterms:created>
  <dc:creator>openpyxl</dc:creator>
  <dc:description/>
  <dc:language>en-US</dc:language>
  <cp:lastModifiedBy/>
  <dcterms:modified xsi:type="dcterms:W3CDTF">2026-02-24T04:00:14Z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