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t Economics" sheetId="1" state="visible" r:id="rId3"/>
    <sheet name="Revenue Projections" sheetId="2" state="visible" r:id="rId4"/>
    <sheet name="Burn &amp; Runway" sheetId="3" state="visible" r:id="rId5"/>
    <sheet name="TAM SAM SOM" sheetId="4" state="visible" r:id="rId6"/>
    <sheet name="Operating Pla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<sst xmlns="http://schemas.openxmlformats.org/spreadsheetml/2006/main" count="295" uniqueCount="239">
  <si>
    <t xml:space="preserve">YARNNN — Unit Economics (2-Tier Model)</t>
  </si>
  <si>
    <t xml:space="preserve">Per-User Cost Breakdown (Monthly)</t>
  </si>
  <si>
    <t xml:space="preserve">Free</t>
  </si>
  <si>
    <t xml:space="preserve">Pro ($19)</t>
  </si>
  <si>
    <t xml:space="preserve">Platform sync cost</t>
  </si>
  <si>
    <t xml:space="preserve">LLM cost (agent runs + chat)</t>
  </si>
  <si>
    <t xml:space="preserve">Vector storage / compute</t>
  </si>
  <si>
    <t xml:space="preserve">Infrastructure (allocated)</t>
  </si>
  <si>
    <t xml:space="preserve">Total COGS per user</t>
  </si>
  <si>
    <t xml:space="preserve">Revenue per user</t>
  </si>
  <si>
    <t xml:space="preserve">Gross profit per user</t>
  </si>
  <si>
    <t xml:space="preserve">Gross margin %</t>
  </si>
  <si>
    <t xml:space="preserve">-</t>
  </si>
  <si>
    <t xml:space="preserve">Blended Unit Economics</t>
  </si>
  <si>
    <t xml:space="preserve">Free tier %</t>
  </si>
  <si>
    <t xml:space="preserve">Pro tier %</t>
  </si>
  <si>
    <t xml:space="preserve">Blended ARPU</t>
  </si>
  <si>
    <t xml:space="preserve">Blended COGS per user</t>
  </si>
  <si>
    <t xml:space="preserve">Blended gross margin</t>
  </si>
  <si>
    <t xml:space="preserve">Sources &amp; Assumptions</t>
  </si>
  <si>
    <t xml:space="preserve">Sync cost: ADR-077 (paginated, incremental, tier-gated frequency)</t>
  </si>
  <si>
    <t xml:space="preserve">LLM cost: Claude Sonnet 4 for generation, Haiku 4.5 for review passes</t>
  </si>
  <si>
    <t xml:space="preserve">Vector storage: pgvector on Supabase, per-user allocation</t>
  </si>
  <si>
    <t xml:space="preserve">Infrastructure: 4 Render services allocated across user base</t>
  </si>
  <si>
    <t xml:space="preserve">2-tier model per ADR-100 (Starter tier merged into Early Bird promo)</t>
  </si>
  <si>
    <t xml:space="preserve">YARNNN — 3-Year Revenue Projections (2-Tier)</t>
  </si>
  <si>
    <t xml:space="preserve">User Growth</t>
  </si>
  <si>
    <t xml:space="preserve">Metric</t>
  </si>
  <si>
    <t xml:space="preserve">Q1'26</t>
  </si>
  <si>
    <t xml:space="preserve">Q2'26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</si>
  <si>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</si>
  <si>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</si>
  <si>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</si>
  <si>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</si>
  <si>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</si>
  <si>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</si>
  <si>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Q1'28</t>
  </si>
  <si>
    <t xml:space="preserve">Q2'28</t>
  </si>
  <si>
    <t xml:space="preserve">Q3'28</t>
  </si>
  <si>
    <t xml:space="preserve">Q4'28</t>
  </si>
  <si>
    <t xml:space="preserve">FY2026</t>
  </si>
  <si>
    <t xml:space="preserve">FY2027</t>
  </si>
  <si>
    <t xml:space="preserve">FY2028</t>
  </si>
  <si>
    <t xml:space="preserve">New signups (quarterly)</t>
  </si>
  <si>
    <t xml:space="preserve">Monthly churn rate</t>
  </si>
  <si>
    <t xml:space="preserve">Churned users (quarterly)</t>
  </si>
  <si>
    <t xml:space="preserve">Total active users (EoQ)</t>
  </si>
  <si>
    <t xml:space="preserve">Revenue ($)</t>
  </si>
  <si>
    <t xml:space="preserve">Paying users (Pro)</t>
  </si>
  <si>
    <t xml:space="preserve">MRR (monthly recurring)</t>
  </si>
  <si>
    <t xml:space="preserve">Quarterly revenue</t>
  </si>
  <si>
    <t xml:space="preserve">ARR (annualized from EoQ MRR)</t>
  </si>
  <si>
    <t xml:space="preserve">COGS &amp; Gross Profit</t>
  </si>
  <si>
    <t xml:space="preserve">Total COGS (quarterly)</t>
  </si>
  <si>
    <t xml:space="preserve">Gross profit (quarterly)</t>
  </si>
  <si>
    <t xml:space="preserve">YARNNN — Burn Rate &amp; Runway</t>
  </si>
  <si>
    <t xml:space="preserve">Funding Assumptions</t>
  </si>
  <si>
    <t xml:space="preserve">Pre-seed raise amount</t>
  </si>
  <si>
    <t xml:space="preserve">Post-money valuation</t>
  </si>
  <si>
    <t xml:space="preserve">Dilution %</t>
  </si>
  <si>
    <t xml:space="preserve">Monthly Operating Expenses</t>
  </si>
  <si>
    <t xml:space="preserve">Expense Category</t>
  </si>
  <si>
    <t xml:space="preserve">Founder salary (monthly)</t>
  </si>
  <si>
    <t xml:space="preserve">Tech Lead (monthly)</t>
  </si>
  <si>
    <t xml:space="preserve">GTM Lead (monthly)</t>
  </si>
  <si>
    <t xml:space="preserve">Infrastructure &amp; APIs</t>
  </si>
  <si>
    <t xml:space="preserve">Other (legal, tools, misc)</t>
  </si>
  <si>
    <t xml:space="preserve">Quarterly OpEx (all × 3)</t>
  </si>
  <si>
    <t xml:space="preserve">Cash Flow</t>
  </si>
  <si>
    <t xml:space="preserve">Revenue (from projections)</t>
  </si>
  <si>
    <t xml:space="preserve">COGS (from projections)</t>
  </si>
  <si>
    <t xml:space="preserve">Total spend (OpEx + COGS)</t>
  </si>
  <si>
    <t xml:space="preserve">Net burn (quarterly)</t>
  </si>
  <si>
    <t xml:space="preserve">Cash balance (EoQ)</t>
  </si>
  <si>
    <t xml:space="preserve">Months runway remaining</t>
  </si>
  <si>
    <t xml:space="preserve">YARNNN — Market Sizing</t>
  </si>
  <si>
    <t xml:space="preserve">TAM: AI Productivity Tools</t>
  </si>
  <si>
    <t xml:space="preserve">Value</t>
  </si>
  <si>
    <t xml:space="preserve">Source</t>
  </si>
  <si>
    <t xml:space="preserve">Date</t>
  </si>
  <si>
    <t xml:space="preserve">AI productivity market size</t>
  </si>
  <si>
    <t xml:space="preserve">$4.35B</t>
  </si>
  <si>
    <t xml:space="preserve">Grand View Research</t>
  </si>
  <si>
    <t xml:space="preserve">2025</t>
  </si>
  <si>
    <t xml:space="preserve">Market CAGR</t>
  </si>
  <si>
    <t xml:space="preserve">31%</t>
  </si>
  <si>
    <t xml:space="preserve">2025-2030</t>
  </si>
  <si>
    <t xml:space="preserve">Projected 2030 market</t>
  </si>
  <si>
    <t xml:space="preserve">$21.5B</t>
  </si>
  <si>
    <t xml:space="preserve">2030 est.</t>
  </si>
  <si>
    <t xml:space="preserve">SAM: Solo Consultants</t>
  </si>
  <si>
    <t xml:space="preserve">Global management consultants</t>
  </si>
  <si>
    <t xml:space="preserve">~5M (est)</t>
  </si>
  <si>
    <t xml:space="preserve">IBIS World + Statista</t>
  </si>
  <si>
    <t xml:space="preserve">2024</t>
  </si>
  <si>
    <t xml:space="preserve">% with recurring client obligations</t>
  </si>
  <si>
    <t xml:space="preserve">~60%</t>
  </si>
  <si>
    <t xml:space="preserve">MBO Partners survey</t>
  </si>
  <si>
    <t xml:space="preserve">Addressable consultant base</t>
  </si>
  <si>
    <t xml:space="preserve">~3M</t>
  </si>
  <si>
    <t xml:space="preserve">5M × 60% recurring work</t>
  </si>
  <si>
    <t xml:space="preserve">Calculated</t>
  </si>
  <si>
    <t xml:space="preserve">Pro annual price</t>
  </si>
  <si>
    <t xml:space="preserve">$228/yr</t>
  </si>
  <si>
    <t xml:space="preserve">$19/mo × 12</t>
  </si>
  <si>
    <t xml:space="preserve">yarnnn pricing</t>
  </si>
  <si>
    <t xml:space="preserve">SAM calculation</t>
  </si>
  <si>
    <t xml:space="preserve">$684M</t>
  </si>
  <si>
    <t xml:space="preserve">3M × $228/yr</t>
  </si>
  <si>
    <t xml:space="preserve">Expanded SAM (incl. founders/execs)</t>
  </si>
  <si>
    <t xml:space="preserve">$1.14B</t>
  </si>
  <si>
    <t xml:space="preserve">~5M professionals × $228/yr</t>
  </si>
  <si>
    <t xml:space="preserve">SOM: Entry Wedge (3-Year Target)</t>
  </si>
  <si>
    <t xml:space="preserve">Target: US solo consultants</t>
  </si>
  <si>
    <t xml:space="preserve">~2M</t>
  </si>
  <si>
    <t xml:space="preserve">MBO Partners + BLS data</t>
  </si>
  <si>
    <t xml:space="preserve">Realistic penetration (3 years)</t>
  </si>
  <si>
    <t xml:space="preserve">1%</t>
  </si>
  <si>
    <t xml:space="preserve">Conservative for new category</t>
  </si>
  <si>
    <t xml:space="preserve">Assumption</t>
  </si>
  <si>
    <t xml:space="preserve">Target paid users</t>
  </si>
  <si>
    <t xml:space="preserve">20,000</t>
  </si>
  <si>
    <t xml:space="preserve">2M × 1%</t>
  </si>
  <si>
    <t xml:space="preserve">Pro ARPU (annual)</t>
  </si>
  <si>
    <t xml:space="preserve">$228</t>
  </si>
  <si>
    <t xml:space="preserve">Entry SOM</t>
  </si>
  <si>
    <t xml:space="preserve">$4.6M ARR</t>
  </si>
  <si>
    <t xml:space="preserve">20K × $228</t>
  </si>
  <si>
    <t xml:space="preserve">Competitive Valuation Comps</t>
  </si>
  <si>
    <t xml:space="preserve">Company</t>
  </si>
  <si>
    <t xml:space="preserve">Valuation</t>
  </si>
  <si>
    <t xml:space="preserve">Category</t>
  </si>
  <si>
    <t xml:space="preserve">What yarnnn adds</t>
  </si>
  <si>
    <t xml:space="preserve">Notion</t>
  </si>
  <si>
    <t xml:space="preserve">$11B</t>
  </si>
  <si>
    <t xml:space="preserve">Productivity</t>
  </si>
  <si>
    <t xml:space="preserve">No autonomous output, single-platform</t>
  </si>
  <si>
    <t xml:space="preserve">Glean</t>
  </si>
  <si>
    <t xml:space="preserve">$7.2B</t>
  </si>
  <si>
    <t xml:space="preserve">Enterprise Search</t>
  </si>
  <si>
    <t xml:space="preserve">Enterprise-only, no prosumer play</t>
  </si>
  <si>
    <t xml:space="preserve">Granola</t>
  </si>
  <si>
    <t xml:space="preserve">$250M</t>
  </si>
  <si>
    <t xml:space="preserve">AI Notes</t>
  </si>
  <si>
    <t xml:space="preserve">Meeting-only, no cross-platform synthesis</t>
  </si>
  <si>
    <t xml:space="preserve">Mem.ai</t>
  </si>
  <si>
    <t xml:space="preserve">$110M (OpenAI-backed)</t>
  </si>
  <si>
    <t xml:space="preserve">Second Brain</t>
  </si>
  <si>
    <t xml:space="preserve">Memory without autonomous output</t>
  </si>
  <si>
    <t xml:space="preserve">TwinMind</t>
  </si>
  <si>
    <t xml:space="preserve">$60M (Seed, Sep 2025)</t>
  </si>
  <si>
    <t xml:space="preserve">AI Memory</t>
  </si>
  <si>
    <t xml:space="preserve">Memory only, no deliverable engine</t>
  </si>
  <si>
    <t xml:space="preserve">Limitless</t>
  </si>
  <si>
    <t xml:space="preserve">Acquired by Meta</t>
  </si>
  <si>
    <t xml:space="preserve">Acquired for memory tech alone</t>
  </si>
  <si>
    <t xml:space="preserve">YARNNN — 18-Month Operating Plan</t>
  </si>
  <si>
    <t xml:space="preserve">Pre-seed: $500K at $5M post  |  Target: 18 months runway</t>
  </si>
  <si>
    <t xml:space="preserve">Milestone Timeline</t>
  </si>
  <si>
    <t xml:space="preserve">Milestone</t>
  </si>
  <si>
    <t xml:space="preserve">Months 1-3</t>
  </si>
  <si>
    <t xml:space="preserve">Months 4-6</t>
  </si>
  <si>
    <t xml:space="preserve">Months 7-9</t>
  </si>
  <si>
    <t xml:space="preserve">Months 10-12</t>
  </si>
  <si>
    <t xml:space="preserve">Months 13-15</t>
  </si>
  <si>
    <t xml:space="preserve">Months 16-18</t>
  </si>
  <si>
    <t xml:space="preserve">Success Metric</t>
  </si>
  <si>
    <t xml:space="preserve">Users</t>
  </si>
  <si>
    <t xml:space="preserve">50 beta</t>
  </si>
  <si>
    <t xml:space="preserve">200 active</t>
  </si>
  <si>
    <t xml:space="preserve">800 active</t>
  </si>
  <si>
    <t xml:space="preserve">2,000 active</t>
  </si>
  <si>
    <t xml:space="preserve">5,000 active</t>
  </si>
  <si>
    <t xml:space="preserve">10,000 active</t>
  </si>
  <si>
    <t xml:space="preserve">30-day retention &gt; 40%</t>
  </si>
  <si>
    <t xml:space="preserve">Revenue</t>
  </si>
  <si>
    <t xml:space="preserve">$0 (beta)</t>
  </si>
  <si>
    <t xml:space="preserve">$1K MRR</t>
  </si>
  <si>
    <t xml:space="preserve">$5K MRR</t>
  </si>
  <si>
    <t xml:space="preserve">$15K MRR</t>
  </si>
  <si>
    <t xml:space="preserve">$35K MRR</t>
  </si>
  <si>
    <t xml:space="preserve">$70K MRR</t>
  </si>
  <si>
    <t xml:space="preserve">Path to $100K MRR</t>
  </si>
  <si>
    <t xml:space="preserve">Product</t>
  </si>
  <si>
    <t xml:space="preserve">TP + 4 integrations</t>
  </si>
  <si>
    <t xml:space="preserve">Deliverable engine v2</t>
  </si>
  <si>
    <t xml:space="preserve">Coordinator agents</t>
  </si>
  <si>
    <t xml:space="preserve">Team features (alpha)</t>
  </si>
  <si>
    <t xml:space="preserve">API / plugin system</t>
  </si>
  <si>
    <t xml:space="preserve">Enterprise pilot</t>
  </si>
  <si>
    <t xml:space="preserve">NPS &gt; 50</t>
  </si>
  <si>
    <t xml:space="preserve">Team</t>
  </si>
  <si>
    <t xml:space="preserve">Solo founder</t>
  </si>
  <si>
    <t xml:space="preserve">Tech Lead hired</t>
  </si>
  <si>
    <t xml:space="preserve">GTM Lead hired</t>
  </si>
  <si>
    <t xml:space="preserve">3 people</t>
  </si>
  <si>
    <t xml:space="preserve">4-5 people</t>
  </si>
  <si>
    <t xml:space="preserve">5-6 people</t>
  </si>
  <si>
    <t xml:space="preserve">Key hires in place</t>
  </si>
  <si>
    <t xml:space="preserve">Fundraise</t>
  </si>
  <si>
    <t xml:space="preserve">Pre-seed closes</t>
  </si>
  <si>
    <t xml:space="preserve">—</t>
  </si>
  <si>
    <t xml:space="preserve">Series A prep</t>
  </si>
  <si>
    <t xml:space="preserve">Series A conversations</t>
  </si>
  <si>
    <t xml:space="preserve">Series A close ($3-5M)</t>
  </si>
  <si>
    <t xml:space="preserve">$3-5M at $30-50M</t>
  </si>
  <si>
    <t xml:space="preserve">Use of Funds ($500K)</t>
  </si>
  <si>
    <t xml:space="preserve">Amount</t>
  </si>
  <si>
    <t xml:space="preserve">% of Total</t>
  </si>
  <si>
    <t xml:space="preserve">Notes</t>
  </si>
  <si>
    <t xml:space="preserve">Founder salary (18 mo)</t>
  </si>
  <si>
    <t xml:space="preserve">Pre-revenue: $0, scales to $8K/mo</t>
  </si>
  <si>
    <t xml:space="preserve">Tech Lead (12 mo)</t>
  </si>
  <si>
    <t xml:space="preserve">Hired month 4, $12-14K/mo</t>
  </si>
  <si>
    <t xml:space="preserve">GTM Lead (10 mo)</t>
  </si>
  <si>
    <t xml:space="preserve">Hired month 7, $8-10K/mo</t>
  </si>
  <si>
    <t xml:space="preserve">Render, Supabase, Claude API, scaling</t>
  </si>
  <si>
    <t xml:space="preserve">Legal &amp; compliance</t>
  </si>
  <si>
    <t xml:space="preserve">Incorporation, IP, privacy, terms</t>
  </si>
  <si>
    <t xml:space="preserve">Tools &amp; software</t>
  </si>
  <si>
    <t xml:space="preserve">Dev tools, analytics, marketing</t>
  </si>
  <si>
    <t xml:space="preserve">Buffer / contingency</t>
  </si>
  <si>
    <t xml:space="preserve">Calculated as remainder</t>
  </si>
  <si>
    <t xml:space="preserve">TOTAL</t>
  </si>
  <si>
    <t xml:space="preserve">Key Hypotheses Being Tested</t>
  </si>
  <si>
    <t xml:space="preserve">Hypothesis</t>
  </si>
  <si>
    <t xml:space="preserve">What We're Testing</t>
  </si>
  <si>
    <t xml:space="preserve">H1: Cold-start solved</t>
  </si>
  <si>
    <t xml:space="preserve">TP with synced context provides value from Day 1</t>
  </si>
  <si>
    <t xml:space="preserve">Week 1 retention &gt; 60%</t>
  </si>
  <si>
    <t xml:space="preserve">H2: Context compounds</t>
  </si>
  <si>
    <t xml:space="preserve">Accumulated context → measurably better output</t>
  </si>
  <si>
    <t xml:space="preserve">Edit distance ↓ 30%+ by week 8</t>
  </si>
  <si>
    <t xml:space="preserve">H3: Switching costs real</t>
  </si>
  <si>
    <t xml:space="preserve">Users with 90+ days don't churn to competitors</t>
  </si>
  <si>
    <t xml:space="preserve">90-day retention &gt; 70%</t>
  </si>
  <si>
    <t xml:space="preserve">H4: Consultants pay $19</t>
  </si>
  <si>
    <t xml:space="preserve">Solo consultants upgrade from free</t>
  </si>
  <si>
    <t xml:space="preserve">Free→paid conversion &gt; 8%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</si>
</sst>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;&quot;($&quot;#,##0\);\-"/>
    <numFmt numFmtId="167" formatCode="0.0%"/>
    <numFmt numFmtId="168" formatCode="#,##0;\(#,##0\);\-"/>
    <numFmt numFmtId="169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b val="true"/>
      <sz val="11"/>
      <color rgb="FF33333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</row>
    <row r="5" customFormat="false" ht="15" hidden="false" customHeight="false" outlineLevel="0" collapsed="false">
      <c r="A5" s="4" t="s">
        <v>4</v>
      </c>
      <c r="B5" s="5" t="n">
        <v>0.05</v>
      </c>
      <c r="C5" s="5" t="n">
        <v>0.5</v>
      </c>
    </row>
    <row r="6" customFormat="false" ht="15" hidden="false" customHeight="false" outlineLevel="0" collapsed="false">
      <c r="A6" s="4" t="s">
        <v>5</v>
      </c>
      <c r="B6" s="5" t="n">
        <v>0.5</v>
      </c>
      <c r="C6" s="5" t="n">
        <v>5</v>
      </c>
    </row>
    <row r="7" customFormat="false" ht="15" hidden="false" customHeight="false" outlineLevel="0" collapsed="false">
      <c r="A7" s="4" t="s">
        <v>6</v>
      </c>
      <c r="B7" s="5" t="n">
        <v>0.02</v>
      </c>
      <c r="C7" s="5" t="n">
        <v>0.2</v>
      </c>
    </row>
    <row r="8" customFormat="false" ht="15" hidden="false" customHeight="false" outlineLevel="0" collapsed="false">
      <c r="A8" s="4" t="s">
        <v>7</v>
      </c>
      <c r="B8" s="5" t="n">
        <v>0.1</v>
      </c>
      <c r="C8" s="5" t="n">
        <v>0.1</v>
      </c>
    </row>
    <row r="9" customFormat="false" ht="15" hidden="false" customHeight="false" outlineLevel="0" collapsed="false">
      <c r="A9" s="6" t="s">
        <v>8</v>
      </c>
      <c r="B9" s="7" t="n">
        <f aca="false">SUM(B5:B8)</f>
        <v>0.67</v>
      </c>
      <c r="C9" s="7" t="n">
        <f aca="false">SUM(C5:C8)</f>
        <v>5.8</v>
      </c>
    </row>
    <row r="11" customFormat="false" ht="15" hidden="false" customHeight="false" outlineLevel="0" collapsed="false">
      <c r="A11" s="6" t="s">
        <v>9</v>
      </c>
      <c r="B11" s="8" t="n">
        <v>0</v>
      </c>
      <c r="C11" s="8" t="n">
        <v>19</v>
      </c>
    </row>
    <row r="12" customFormat="false" ht="15" hidden="false" customHeight="false" outlineLevel="0" collapsed="false">
      <c r="A12" s="6" t="s">
        <v>10</v>
      </c>
      <c r="B12" s="9" t="n">
        <f aca="false">B11-B9</f>
        <v>-0.67</v>
      </c>
      <c r="C12" s="9" t="n">
        <f aca="false">C11-C9</f>
        <v>13.2</v>
      </c>
    </row>
    <row r="13" customFormat="false" ht="15" hidden="false" customHeight="false" outlineLevel="0" collapsed="false">
      <c r="A13" s="4" t="s">
        <v>11</v>
      </c>
      <c r="B13" s="4" t="s">
        <v>12</v>
      </c>
      <c r="C13" s="10" t="n">
        <f aca="false">IF(C11&gt;0,C12/C11,0)</f>
        <v>0.694736842105263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4" t="s">
        <v>14</v>
      </c>
      <c r="B16" s="11" t="n">
        <v>0.6</v>
      </c>
    </row>
    <row r="17" customFormat="false" ht="15" hidden="false" customHeight="false" outlineLevel="0" collapsed="false">
      <c r="A17" s="4" t="s">
        <v>15</v>
      </c>
      <c r="B17" s="10" t="n">
        <f aca="false">1-B16</f>
        <v>0.4</v>
      </c>
    </row>
    <row r="19" customFormat="false" ht="15" hidden="false" customHeight="false" outlineLevel="0" collapsed="false">
      <c r="A19" s="6" t="s">
        <v>16</v>
      </c>
      <c r="B19" s="9" t="n">
        <f aca="false">B16*B11+B17*C11</f>
        <v>7.6</v>
      </c>
    </row>
    <row r="20" customFormat="false" ht="15" hidden="false" customHeight="false" outlineLevel="0" collapsed="false">
      <c r="A20" s="6" t="s">
        <v>17</v>
      </c>
      <c r="B20" s="9" t="n">
        <f aca="false">B16*B9+B17*C9</f>
        <v>2.722</v>
      </c>
    </row>
    <row r="21" customFormat="false" ht="15" hidden="false" customHeight="false" outlineLevel="0" collapsed="false">
      <c r="A21" s="6" t="s">
        <v>18</v>
      </c>
      <c r="B21" s="10" t="n">
        <f aca="false">IF(B19&gt;0,(B19-B20)/B19,0)</f>
        <v>0.641842105263158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12" t="s">
        <v>20</v>
      </c>
    </row>
    <row r="25" customFormat="false" ht="15" hidden="false" customHeight="false" outlineLevel="0" collapsed="false">
      <c r="A25" s="12" t="s">
        <v>21</v>
      </c>
    </row>
    <row r="26" customFormat="false" ht="15" hidden="false" customHeight="false" outlineLevel="0" collapsed="false">
      <c r="A26" s="12" t="s">
        <v>22</v>
      </c>
    </row>
    <row r="27" customFormat="false" ht="15" hidden="false" customHeight="false" outlineLevel="0" collapsed="false">
      <c r="A27" s="12" t="s">
        <v>23</v>
      </c>
    </row>
    <row r="28" customFormat="false" ht="15" hidden="false" customHeight="false" outlineLevel="0" collapsed="false">
      <c r="A28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15" min="2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26</v>
      </c>
    </row>
    <row r="4" customFormat="false" ht="15" hidden="false" customHeight="fals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" t="s">
        <v>35</v>
      </c>
      <c r="J4" s="3" t="s">
        <v>36</v>
      </c>
      <c r="K4" s="3" t="s">
        <v>37</v>
      </c>
      <c r="L4" s="3" t="s">
        <v>38</v>
      </c>
      <c r="M4" s="3" t="s">
        <v>39</v>
      </c>
      <c r="N4" s="3" t="s">
        <v>40</v>
      </c>
      <c r="O4" s="3" t="s">
        <v>41</v>
      </c>
      <c r="P4" s="3" t="s">
        <v>42</v>
      </c>
    </row>
    <row r="5" customFormat="false" ht="15" hidden="false" customHeight="false" outlineLevel="0" collapsed="false">
      <c r="A5" s="4" t="s">
        <v>43</v>
      </c>
      <c r="B5" s="13" t="n">
        <v>50</v>
      </c>
      <c r="C5" s="13" t="n">
        <v>150</v>
      </c>
      <c r="D5" s="13" t="n">
        <v>400</v>
      </c>
      <c r="E5" s="13" t="n">
        <v>800</v>
      </c>
      <c r="F5" s="13" t="n">
        <v>1500</v>
      </c>
      <c r="G5" s="13" t="n">
        <v>2500</v>
      </c>
      <c r="H5" s="13" t="n">
        <v>4000</v>
      </c>
      <c r="I5" s="13" t="n">
        <v>6000</v>
      </c>
      <c r="J5" s="13" t="n">
        <v>8000</v>
      </c>
      <c r="K5" s="13" t="n">
        <v>10000</v>
      </c>
      <c r="L5" s="13" t="n">
        <v>12000</v>
      </c>
      <c r="M5" s="13" t="n">
        <v>15000</v>
      </c>
      <c r="N5" s="14" t="n">
        <f aca="false">SUM(B5:E5)</f>
        <v>1400</v>
      </c>
      <c r="O5" s="14" t="n">
        <f aca="false">SUM(F5:I5)</f>
        <v>14000</v>
      </c>
      <c r="P5" s="14" t="n">
        <f aca="false">SUM(J5:M5)</f>
        <v>45000</v>
      </c>
    </row>
    <row r="6" customFormat="false" ht="15" hidden="false" customHeight="false" outlineLevel="0" collapsed="false">
      <c r="A6" s="4" t="s">
        <v>44</v>
      </c>
      <c r="B6" s="15" t="n">
        <v>0.15</v>
      </c>
      <c r="C6" s="15" t="n">
        <v>0.12</v>
      </c>
      <c r="D6" s="15" t="n">
        <v>0.1</v>
      </c>
      <c r="E6" s="15" t="n">
        <v>0.08</v>
      </c>
      <c r="F6" s="15" t="n">
        <v>0.07</v>
      </c>
      <c r="G6" s="15" t="n">
        <v>0.06</v>
      </c>
      <c r="H6" s="15" t="n">
        <v>0.055</v>
      </c>
      <c r="I6" s="15" t="n">
        <v>0.05</v>
      </c>
      <c r="J6" s="15" t="n">
        <v>0.045</v>
      </c>
      <c r="K6" s="15" t="n">
        <v>0.04</v>
      </c>
      <c r="L6" s="15" t="n">
        <v>0.04</v>
      </c>
      <c r="M6" s="15" t="n">
        <v>0.035</v>
      </c>
    </row>
    <row r="7" customFormat="false" ht="15" hidden="false" customHeight="false" outlineLevel="0" collapsed="false">
      <c r="A7" s="4" t="s">
        <v>45</v>
      </c>
      <c r="B7" s="14" t="n">
        <v>0</v>
      </c>
      <c r="C7" s="14" t="n">
        <f aca="false">ROUND(B8*(1-(1-C6)^3),0)</f>
        <v>16</v>
      </c>
      <c r="D7" s="14" t="n">
        <f aca="false">ROUND(C8*(1-(1-D6)^3),0)</f>
        <v>50</v>
      </c>
      <c r="E7" s="14" t="n">
        <f aca="false">ROUND(D8*(1-(1-E6)^3),0)</f>
        <v>118</v>
      </c>
      <c r="F7" s="14" t="n">
        <f aca="false">ROUND(E8*(1-(1-F6)^3),0)</f>
        <v>238</v>
      </c>
      <c r="G7" s="14" t="n">
        <f aca="false">ROUND(F8*(1-(1-G6)^3),0)</f>
        <v>420</v>
      </c>
      <c r="H7" s="14" t="n">
        <f aca="false">ROUND(G8*(1-(1-H6)^3),0)</f>
        <v>711</v>
      </c>
      <c r="I7" s="14" t="n">
        <f aca="false">ROUND(H8*(1-(1-I6)^3),0)</f>
        <v>1119</v>
      </c>
      <c r="J7" s="14" t="n">
        <f aca="false">ROUND(I8*(1-(1-J6)^3),0)</f>
        <v>1642</v>
      </c>
      <c r="K7" s="14" t="n">
        <f aca="false">ROUND(J8*(1-(1-K6)^3),0)</f>
        <v>2200</v>
      </c>
      <c r="L7" s="14" t="n">
        <f aca="false">ROUND(K8*(1-(1-L6)^3),0)</f>
        <v>3099</v>
      </c>
      <c r="M7" s="14" t="n">
        <f aca="false">ROUND(L8*(1-(1-M6)^3),0)</f>
        <v>3628</v>
      </c>
    </row>
    <row r="8" customFormat="false" ht="15" hidden="false" customHeight="false" outlineLevel="0" collapsed="false">
      <c r="A8" s="6" t="s">
        <v>46</v>
      </c>
      <c r="B8" s="14" t="n">
        <f aca="false">B5-B7</f>
        <v>50</v>
      </c>
      <c r="C8" s="14" t="n">
        <f aca="false">B8+C5-C7</f>
        <v>184</v>
      </c>
      <c r="D8" s="14" t="n">
        <f aca="false">C8+D5-D7</f>
        <v>534</v>
      </c>
      <c r="E8" s="14" t="n">
        <f aca="false">D8+E5-E7</f>
        <v>1216</v>
      </c>
      <c r="F8" s="14" t="n">
        <f aca="false">E8+F5-F7</f>
        <v>2478</v>
      </c>
      <c r="G8" s="14" t="n">
        <f aca="false">F8+G5-G7</f>
        <v>4558</v>
      </c>
      <c r="H8" s="14" t="n">
        <f aca="false">G8+H5-H7</f>
        <v>7847</v>
      </c>
      <c r="I8" s="14" t="n">
        <f aca="false">H8+I5-I7</f>
        <v>12728</v>
      </c>
      <c r="J8" s="14" t="n">
        <f aca="false">I8+J5-J7</f>
        <v>19086</v>
      </c>
      <c r="K8" s="14" t="n">
        <f aca="false">J8+K5-K7</f>
        <v>26886</v>
      </c>
      <c r="L8" s="14" t="n">
        <f aca="false">K8+L5-L7</f>
        <v>35787</v>
      </c>
      <c r="M8" s="14" t="n">
        <f aca="false">L8+M5-M7</f>
        <v>47159</v>
      </c>
      <c r="N8" s="14" t="n">
        <f aca="false">E8</f>
        <v>1216</v>
      </c>
      <c r="O8" s="14" t="n">
        <f aca="false">I8</f>
        <v>12728</v>
      </c>
      <c r="P8" s="14" t="n">
        <f aca="false">M8</f>
        <v>47159</v>
      </c>
    </row>
    <row r="10" customFormat="false" ht="15" hidden="false" customHeight="false" outlineLevel="0" collapsed="false">
      <c r="A10" s="2" t="s">
        <v>47</v>
      </c>
    </row>
    <row r="11" customFormat="false" ht="15" hidden="false" customHeight="false" outlineLevel="0" collapsed="false">
      <c r="A11" s="3" t="s">
        <v>27</v>
      </c>
      <c r="B11" s="3" t="s">
        <v>28</v>
      </c>
      <c r="C11" s="3" t="s">
        <v>29</v>
      </c>
      <c r="D11" s="3" t="s">
        <v>30</v>
      </c>
      <c r="E11" s="3" t="s">
        <v>31</v>
      </c>
      <c r="F11" s="3" t="s">
        <v>32</v>
      </c>
      <c r="G11" s="3" t="s">
        <v>33</v>
      </c>
      <c r="H11" s="3" t="s">
        <v>34</v>
      </c>
      <c r="I11" s="3" t="s">
        <v>35</v>
      </c>
      <c r="J11" s="3" t="s">
        <v>36</v>
      </c>
      <c r="K11" s="3" t="s">
        <v>37</v>
      </c>
      <c r="L11" s="3" t="s">
        <v>38</v>
      </c>
      <c r="M11" s="3" t="s">
        <v>39</v>
      </c>
      <c r="N11" s="3" t="s">
        <v>40</v>
      </c>
      <c r="O11" s="3" t="s">
        <v>41</v>
      </c>
      <c r="P11" s="3" t="s">
        <v>42</v>
      </c>
    </row>
    <row r="12" customFormat="false" ht="15" hidden="false" customHeight="false" outlineLevel="0" collapsed="false">
      <c r="A12" s="4" t="s">
        <v>48</v>
      </c>
      <c r="B12" s="16" t="n">
        <f aca="false">ROUND(B8*'Unit Economics'!B17,0)</f>
        <v>20</v>
      </c>
      <c r="C12" s="16" t="n">
        <f aca="false">ROUND(C8*'Unit Economics'!B17,0)</f>
        <v>74</v>
      </c>
      <c r="D12" s="16" t="n">
        <f aca="false">ROUND(D8*'Unit Economics'!B17,0)</f>
        <v>214</v>
      </c>
      <c r="E12" s="16" t="n">
        <f aca="false">ROUND(E8*'Unit Economics'!B17,0)</f>
        <v>486</v>
      </c>
      <c r="F12" s="16" t="n">
        <f aca="false">ROUND(F8*'Unit Economics'!B17,0)</f>
        <v>991</v>
      </c>
      <c r="G12" s="16" t="n">
        <f aca="false">ROUND(G8*'Unit Economics'!B17,0)</f>
        <v>1823</v>
      </c>
      <c r="H12" s="16" t="n">
        <f aca="false">ROUND(H8*'Unit Economics'!B17,0)</f>
        <v>3139</v>
      </c>
      <c r="I12" s="16" t="n">
        <f aca="false">ROUND(I8*'Unit Economics'!B17,0)</f>
        <v>5091</v>
      </c>
      <c r="J12" s="16" t="n">
        <f aca="false">ROUND(J8*'Unit Economics'!B17,0)</f>
        <v>7634</v>
      </c>
      <c r="K12" s="16" t="n">
        <f aca="false">ROUND(K8*'Unit Economics'!B17,0)</f>
        <v>10754</v>
      </c>
      <c r="L12" s="16" t="n">
        <f aca="false">ROUND(L8*'Unit Economics'!B17,0)</f>
        <v>14315</v>
      </c>
      <c r="M12" s="16" t="n">
        <f aca="false">ROUND(M8*'Unit Economics'!B17,0)</f>
        <v>18864</v>
      </c>
    </row>
    <row r="13" customFormat="false" ht="15" hidden="false" customHeight="false" outlineLevel="0" collapsed="false">
      <c r="A13" s="4" t="s">
        <v>49</v>
      </c>
      <c r="B13" s="17" t="n">
        <f aca="false">B12*'Unit Economics'!C11</f>
        <v>380</v>
      </c>
      <c r="C13" s="17" t="n">
        <f aca="false">C12*'Unit Economics'!C11</f>
        <v>1406</v>
      </c>
      <c r="D13" s="17" t="n">
        <f aca="false">D12*'Unit Economics'!C11</f>
        <v>4066</v>
      </c>
      <c r="E13" s="17" t="n">
        <f aca="false">E12*'Unit Economics'!C11</f>
        <v>9234</v>
      </c>
      <c r="F13" s="17" t="n">
        <f aca="false">F12*'Unit Economics'!C11</f>
        <v>18829</v>
      </c>
      <c r="G13" s="17" t="n">
        <f aca="false">G12*'Unit Economics'!C11</f>
        <v>34637</v>
      </c>
      <c r="H13" s="17" t="n">
        <f aca="false">H12*'Unit Economics'!C11</f>
        <v>59641</v>
      </c>
      <c r="I13" s="17" t="n">
        <f aca="false">I12*'Unit Economics'!C11</f>
        <v>96729</v>
      </c>
      <c r="J13" s="17" t="n">
        <f aca="false">J12*'Unit Economics'!C11</f>
        <v>145046</v>
      </c>
      <c r="K13" s="17" t="n">
        <f aca="false">K12*'Unit Economics'!C11</f>
        <v>204326</v>
      </c>
      <c r="L13" s="17" t="n">
        <f aca="false">L12*'Unit Economics'!C11</f>
        <v>271985</v>
      </c>
      <c r="M13" s="17" t="n">
        <f aca="false">M12*'Unit Economics'!C11</f>
        <v>358416</v>
      </c>
    </row>
    <row r="14" customFormat="false" ht="15" hidden="false" customHeight="false" outlineLevel="0" collapsed="false">
      <c r="A14" s="6" t="s">
        <v>50</v>
      </c>
      <c r="B14" s="18" t="n">
        <f aca="false">B13*3</f>
        <v>1140</v>
      </c>
      <c r="C14" s="18" t="n">
        <f aca="false">C13*3</f>
        <v>4218</v>
      </c>
      <c r="D14" s="18" t="n">
        <f aca="false">D13*3</f>
        <v>12198</v>
      </c>
      <c r="E14" s="18" t="n">
        <f aca="false">E13*3</f>
        <v>27702</v>
      </c>
      <c r="F14" s="18" t="n">
        <f aca="false">F13*3</f>
        <v>56487</v>
      </c>
      <c r="G14" s="18" t="n">
        <f aca="false">G13*3</f>
        <v>103911</v>
      </c>
      <c r="H14" s="18" t="n">
        <f aca="false">H13*3</f>
        <v>178923</v>
      </c>
      <c r="I14" s="18" t="n">
        <f aca="false">I13*3</f>
        <v>290187</v>
      </c>
      <c r="J14" s="18" t="n">
        <f aca="false">J13*3</f>
        <v>435138</v>
      </c>
      <c r="K14" s="18" t="n">
        <f aca="false">K13*3</f>
        <v>612978</v>
      </c>
      <c r="L14" s="18" t="n">
        <f aca="false">L13*3</f>
        <v>815955</v>
      </c>
      <c r="M14" s="18" t="n">
        <f aca="false">M13*3</f>
        <v>1075248</v>
      </c>
      <c r="N14" s="18" t="n">
        <f aca="false">SUM(B14:E14)</f>
        <v>45258</v>
      </c>
      <c r="O14" s="18" t="n">
        <f aca="false">SUM(F14:I14)</f>
        <v>629508</v>
      </c>
      <c r="P14" s="18" t="n">
        <f aca="false">SUM(J14:M14)</f>
        <v>2939319</v>
      </c>
    </row>
    <row r="15" customFormat="false" ht="15" hidden="false" customHeight="false" outlineLevel="0" collapsed="false">
      <c r="A15" s="6" t="s">
        <v>51</v>
      </c>
      <c r="B15" s="18" t="n">
        <f aca="false">B13*12</f>
        <v>4560</v>
      </c>
      <c r="C15" s="18" t="n">
        <f aca="false">C13*12</f>
        <v>16872</v>
      </c>
      <c r="D15" s="18" t="n">
        <f aca="false">D13*12</f>
        <v>48792</v>
      </c>
      <c r="E15" s="18" t="n">
        <f aca="false">E13*12</f>
        <v>110808</v>
      </c>
      <c r="F15" s="18" t="n">
        <f aca="false">F13*12</f>
        <v>225948</v>
      </c>
      <c r="G15" s="18" t="n">
        <f aca="false">G13*12</f>
        <v>415644</v>
      </c>
      <c r="H15" s="18" t="n">
        <f aca="false">H13*12</f>
        <v>715692</v>
      </c>
      <c r="I15" s="18" t="n">
        <f aca="false">I13*12</f>
        <v>1160748</v>
      </c>
      <c r="J15" s="18" t="n">
        <f aca="false">J13*12</f>
        <v>1740552</v>
      </c>
      <c r="K15" s="18" t="n">
        <f aca="false">K13*12</f>
        <v>2451912</v>
      </c>
      <c r="L15" s="18" t="n">
        <f aca="false">L13*12</f>
        <v>3263820</v>
      </c>
      <c r="M15" s="18" t="n">
        <f aca="false">M13*12</f>
        <v>4300992</v>
      </c>
      <c r="N15" s="18" t="n">
        <f aca="false">E15</f>
        <v>110808</v>
      </c>
      <c r="O15" s="18" t="n">
        <f aca="false">I15</f>
        <v>1160748</v>
      </c>
      <c r="P15" s="18" t="n">
        <f aca="false">M15</f>
        <v>4300992</v>
      </c>
    </row>
    <row r="17" customFormat="false" ht="15" hidden="false" customHeight="false" outlineLevel="0" collapsed="false">
      <c r="A17" s="2" t="s">
        <v>52</v>
      </c>
    </row>
    <row r="18" customFormat="false" ht="15" hidden="false" customHeight="false" outlineLevel="0" collapsed="false">
      <c r="A18" s="4" t="s">
        <v>53</v>
      </c>
      <c r="B18" s="17" t="n">
        <f aca="false">B8*'Unit Economics'!B20*3</f>
        <v>408.3</v>
      </c>
      <c r="C18" s="17" t="n">
        <f aca="false">C8*'Unit Economics'!B20*3</f>
        <v>1502.544</v>
      </c>
      <c r="D18" s="17" t="n">
        <f aca="false">D8*'Unit Economics'!B20*3</f>
        <v>4360.644</v>
      </c>
      <c r="E18" s="17" t="n">
        <f aca="false">E8*'Unit Economics'!B20*3</f>
        <v>9929.856</v>
      </c>
      <c r="F18" s="17" t="n">
        <f aca="false">F8*'Unit Economics'!B20*3</f>
        <v>20235.348</v>
      </c>
      <c r="G18" s="17" t="n">
        <f aca="false">G8*'Unit Economics'!B20*3</f>
        <v>37220.628</v>
      </c>
      <c r="H18" s="17" t="n">
        <f aca="false">H8*'Unit Economics'!B20*3</f>
        <v>64078.602</v>
      </c>
      <c r="I18" s="17" t="n">
        <f aca="false">I8*'Unit Economics'!B20*3</f>
        <v>103936.848</v>
      </c>
      <c r="J18" s="17" t="n">
        <f aca="false">J8*'Unit Economics'!B20*3</f>
        <v>155856.276</v>
      </c>
      <c r="K18" s="17" t="n">
        <f aca="false">K8*'Unit Economics'!B20*3</f>
        <v>219551.076</v>
      </c>
      <c r="L18" s="17" t="n">
        <f aca="false">L8*'Unit Economics'!B20*3</f>
        <v>292236.642</v>
      </c>
      <c r="M18" s="17" t="n">
        <f aca="false">M8*'Unit Economics'!B20*3</f>
        <v>385100.394</v>
      </c>
      <c r="N18" s="18" t="n">
        <f aca="false">SUM(B18:E18)</f>
        <v>16201.344</v>
      </c>
      <c r="O18" s="18" t="n">
        <f aca="false">SUM(F18:I18)</f>
        <v>225471.426</v>
      </c>
      <c r="P18" s="18" t="n">
        <f aca="false">SUM(J18:M18)</f>
        <v>1052744.388</v>
      </c>
    </row>
    <row r="19" customFormat="false" ht="15" hidden="false" customHeight="false" outlineLevel="0" collapsed="false">
      <c r="A19" s="6" t="s">
        <v>54</v>
      </c>
      <c r="B19" s="18" t="n">
        <f aca="false">B14-B18</f>
        <v>731.7</v>
      </c>
      <c r="C19" s="18" t="n">
        <f aca="false">C14-C18</f>
        <v>2715.456</v>
      </c>
      <c r="D19" s="18" t="n">
        <f aca="false">D14-D18</f>
        <v>7837.356</v>
      </c>
      <c r="E19" s="18" t="n">
        <f aca="false">E14-E18</f>
        <v>17772.144</v>
      </c>
      <c r="F19" s="18" t="n">
        <f aca="false">F14-F18</f>
        <v>36251.652</v>
      </c>
      <c r="G19" s="18" t="n">
        <f aca="false">G14-G18</f>
        <v>66690.372</v>
      </c>
      <c r="H19" s="18" t="n">
        <f aca="false">H14-H18</f>
        <v>114844.398</v>
      </c>
      <c r="I19" s="18" t="n">
        <f aca="false">I14-I18</f>
        <v>186250.152</v>
      </c>
      <c r="J19" s="18" t="n">
        <f aca="false">J14-J18</f>
        <v>279281.724</v>
      </c>
      <c r="K19" s="18" t="n">
        <f aca="false">K14-K18</f>
        <v>393426.924</v>
      </c>
      <c r="L19" s="18" t="n">
        <f aca="false">L14-L18</f>
        <v>523718.358</v>
      </c>
      <c r="M19" s="18" t="n">
        <f aca="false">M14-M18</f>
        <v>690147.606</v>
      </c>
      <c r="N19" s="18" t="n">
        <f aca="false">SUM(B19:E19)</f>
        <v>29056.656</v>
      </c>
      <c r="O19" s="18" t="n">
        <f aca="false">SUM(F19:I19)</f>
        <v>404036.574</v>
      </c>
      <c r="P19" s="18" t="n">
        <f aca="false">SUM(J19:M19)</f>
        <v>1886574.612</v>
      </c>
    </row>
    <row r="20" customFormat="false" ht="15" hidden="false" customHeight="false" outlineLevel="0" collapsed="false">
      <c r="A20" s="4" t="s">
        <v>11</v>
      </c>
      <c r="B20" s="10" t="n">
        <f aca="false">IF(B14&gt;0,B19/B14,0)</f>
        <v>0.641842105263158</v>
      </c>
      <c r="C20" s="10" t="n">
        <f aca="false">IF(C14&gt;0,C19/C14,0)</f>
        <v>0.643778093883357</v>
      </c>
      <c r="D20" s="10" t="n">
        <f aca="false">IF(D14&gt;0,D19/D14,0)</f>
        <v>0.642511559272012</v>
      </c>
      <c r="E20" s="10" t="n">
        <f aca="false">IF(E14&gt;0,E19/E14,0)</f>
        <v>0.641547325102881</v>
      </c>
      <c r="F20" s="10" t="n">
        <f aca="false">IF(F14&gt;0,F19/F14,0)</f>
        <v>0.641769823145149</v>
      </c>
      <c r="G20" s="10" t="n">
        <f aca="false">IF(G14&gt;0,G19/G14,0)</f>
        <v>0.641802812021826</v>
      </c>
      <c r="H20" s="10" t="n">
        <f aca="false">IF(H14&gt;0,H19/H14,0)</f>
        <v>0.641864925135393</v>
      </c>
      <c r="I20" s="10" t="n">
        <f aca="false">IF(I14&gt;0,I19/I14,0)</f>
        <v>0.64182803502569</v>
      </c>
      <c r="J20" s="10" t="n">
        <f aca="false">IF(J14&gt;0,J19/J14,0)</f>
        <v>0.641823338802863</v>
      </c>
      <c r="K20" s="10" t="n">
        <f aca="false">IF(K14&gt;0,K19/K14,0)</f>
        <v>0.641828783414739</v>
      </c>
      <c r="L20" s="10" t="n">
        <f aca="false">IF(L14&gt;0,L19/L14,0)</f>
        <v>0.641847109215582</v>
      </c>
      <c r="M20" s="10" t="n">
        <f aca="false">IF(M14&gt;0,M19/M14,0)</f>
        <v>0.641849699790188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15" min="2" style="0" width="14"/>
  </cols>
  <sheetData>
    <row r="1" customFormat="false" ht="16.15" hidden="false" customHeight="false" outlineLevel="0" collapsed="false">
      <c r="A1" s="1" t="s">
        <v>55</v>
      </c>
    </row>
    <row r="3" customFormat="false" ht="15" hidden="false" customHeight="false" outlineLevel="0" collapsed="false">
      <c r="A3" s="2" t="s">
        <v>56</v>
      </c>
    </row>
    <row r="4" customFormat="false" ht="15" hidden="false" customHeight="false" outlineLevel="0" collapsed="false">
      <c r="A4" s="4" t="s">
        <v>57</v>
      </c>
      <c r="B4" s="19" t="n">
        <v>500000</v>
      </c>
    </row>
    <row r="5" customFormat="false" ht="15" hidden="false" customHeight="false" outlineLevel="0" collapsed="false">
      <c r="A5" s="4" t="s">
        <v>58</v>
      </c>
      <c r="B5" s="8" t="n">
        <v>5000000</v>
      </c>
    </row>
    <row r="6" customFormat="false" ht="15" hidden="false" customHeight="false" outlineLevel="0" collapsed="false">
      <c r="A6" s="4" t="s">
        <v>59</v>
      </c>
      <c r="B6" s="10" t="n">
        <f aca="false">B4/B5</f>
        <v>0.1</v>
      </c>
    </row>
    <row r="8" customFormat="false" ht="15" hidden="false" customHeight="false" outlineLevel="0" collapsed="false">
      <c r="A8" s="2" t="s">
        <v>60</v>
      </c>
    </row>
    <row r="9" customFormat="false" ht="15" hidden="false" customHeight="false" outlineLevel="0" collapsed="false">
      <c r="A9" s="3" t="s">
        <v>61</v>
      </c>
      <c r="B9" s="3" t="s">
        <v>28</v>
      </c>
      <c r="C9" s="3" t="s">
        <v>29</v>
      </c>
      <c r="D9" s="3" t="s">
        <v>30</v>
      </c>
      <c r="E9" s="3" t="s">
        <v>31</v>
      </c>
      <c r="F9" s="3" t="s">
        <v>32</v>
      </c>
      <c r="G9" s="3" t="s">
        <v>33</v>
      </c>
      <c r="H9" s="3" t="s">
        <v>34</v>
      </c>
      <c r="I9" s="3" t="s">
        <v>35</v>
      </c>
      <c r="J9" s="3" t="s">
        <v>36</v>
      </c>
      <c r="K9" s="3" t="s">
        <v>37</v>
      </c>
      <c r="L9" s="3" t="s">
        <v>38</v>
      </c>
      <c r="M9" s="3" t="s">
        <v>39</v>
      </c>
      <c r="N9" s="3" t="s">
        <v>40</v>
      </c>
      <c r="O9" s="3" t="s">
        <v>41</v>
      </c>
      <c r="P9" s="3" t="s">
        <v>42</v>
      </c>
    </row>
    <row r="10" customFormat="false" ht="15" hidden="false" customHeight="false" outlineLevel="0" collapsed="false">
      <c r="A10" s="4" t="s">
        <v>62</v>
      </c>
      <c r="B10" s="8" t="n">
        <v>0</v>
      </c>
      <c r="C10" s="8" t="n">
        <v>0</v>
      </c>
      <c r="D10" s="8" t="n">
        <v>5000</v>
      </c>
      <c r="E10" s="8" t="n">
        <v>5000</v>
      </c>
      <c r="F10" s="8" t="n">
        <v>5000</v>
      </c>
      <c r="G10" s="8" t="n">
        <v>5000</v>
      </c>
      <c r="H10" s="8" t="n">
        <v>6000</v>
      </c>
      <c r="I10" s="8" t="n">
        <v>6000</v>
      </c>
      <c r="J10" s="8" t="n">
        <v>7000</v>
      </c>
      <c r="K10" s="8" t="n">
        <v>7000</v>
      </c>
      <c r="L10" s="8" t="n">
        <v>8000</v>
      </c>
      <c r="M10" s="8" t="n">
        <v>8000</v>
      </c>
    </row>
    <row r="11" customFormat="false" ht="15" hidden="false" customHeight="false" outlineLevel="0" collapsed="false">
      <c r="A11" s="4" t="s">
        <v>63</v>
      </c>
      <c r="B11" s="8" t="n">
        <v>0</v>
      </c>
      <c r="C11" s="8" t="n">
        <v>0</v>
      </c>
      <c r="D11" s="8" t="n">
        <v>0</v>
      </c>
      <c r="E11" s="8" t="n">
        <v>12000</v>
      </c>
      <c r="F11" s="8" t="n">
        <v>12000</v>
      </c>
      <c r="G11" s="8" t="n">
        <v>12000</v>
      </c>
      <c r="H11" s="8" t="n">
        <v>12000</v>
      </c>
      <c r="I11" s="8" t="n">
        <v>13000</v>
      </c>
      <c r="J11" s="8" t="n">
        <v>13000</v>
      </c>
      <c r="K11" s="8" t="n">
        <v>13000</v>
      </c>
      <c r="L11" s="8" t="n">
        <v>14000</v>
      </c>
      <c r="M11" s="8" t="n">
        <v>14000</v>
      </c>
    </row>
    <row r="12" customFormat="false" ht="15" hidden="false" customHeight="false" outlineLevel="0" collapsed="false">
      <c r="A12" s="4" t="s">
        <v>64</v>
      </c>
      <c r="B12" s="8" t="n">
        <v>0</v>
      </c>
      <c r="C12" s="8" t="n">
        <v>0</v>
      </c>
      <c r="D12" s="8" t="n">
        <v>0</v>
      </c>
      <c r="E12" s="8" t="n">
        <v>0</v>
      </c>
      <c r="F12" s="8" t="n">
        <v>8000</v>
      </c>
      <c r="G12" s="8" t="n">
        <v>8000</v>
      </c>
      <c r="H12" s="8" t="n">
        <v>8000</v>
      </c>
      <c r="I12" s="8" t="n">
        <v>9000</v>
      </c>
      <c r="J12" s="8" t="n">
        <v>9000</v>
      </c>
      <c r="K12" s="8" t="n">
        <v>9000</v>
      </c>
      <c r="L12" s="8" t="n">
        <v>10000</v>
      </c>
      <c r="M12" s="8" t="n">
        <v>10000</v>
      </c>
    </row>
    <row r="13" customFormat="false" ht="15" hidden="false" customHeight="false" outlineLevel="0" collapsed="false">
      <c r="A13" s="4" t="s">
        <v>65</v>
      </c>
      <c r="B13" s="8" t="n">
        <v>200</v>
      </c>
      <c r="C13" s="8" t="n">
        <v>300</v>
      </c>
      <c r="D13" s="8" t="n">
        <v>500</v>
      </c>
      <c r="E13" s="8" t="n">
        <v>800</v>
      </c>
      <c r="F13" s="8" t="n">
        <v>1200</v>
      </c>
      <c r="G13" s="8" t="n">
        <v>1800</v>
      </c>
      <c r="H13" s="8" t="n">
        <v>2500</v>
      </c>
      <c r="I13" s="8" t="n">
        <v>3500</v>
      </c>
      <c r="J13" s="8" t="n">
        <v>4500</v>
      </c>
      <c r="K13" s="8" t="n">
        <v>5500</v>
      </c>
      <c r="L13" s="8" t="n">
        <v>6500</v>
      </c>
      <c r="M13" s="8" t="n">
        <v>8000</v>
      </c>
    </row>
    <row r="14" customFormat="false" ht="15" hidden="false" customHeight="false" outlineLevel="0" collapsed="false">
      <c r="A14" s="4" t="s">
        <v>66</v>
      </c>
      <c r="B14" s="8" t="n">
        <v>300</v>
      </c>
      <c r="C14" s="8" t="n">
        <v>300</v>
      </c>
      <c r="D14" s="8" t="n">
        <v>500</v>
      </c>
      <c r="E14" s="8" t="n">
        <v>500</v>
      </c>
      <c r="F14" s="8" t="n">
        <v>800</v>
      </c>
      <c r="G14" s="8" t="n">
        <v>800</v>
      </c>
      <c r="H14" s="8" t="n">
        <v>1000</v>
      </c>
      <c r="I14" s="8" t="n">
        <v>1000</v>
      </c>
      <c r="J14" s="8" t="n">
        <v>1200</v>
      </c>
      <c r="K14" s="8" t="n">
        <v>1200</v>
      </c>
      <c r="L14" s="8" t="n">
        <v>1500</v>
      </c>
      <c r="M14" s="8" t="n">
        <v>1500</v>
      </c>
    </row>
    <row r="16" customFormat="false" ht="15" hidden="false" customHeight="false" outlineLevel="0" collapsed="false">
      <c r="A16" s="6" t="s">
        <v>67</v>
      </c>
      <c r="B16" s="18" t="n">
        <f aca="false">(B10+B11+B12+B13+B14)*3</f>
        <v>1500</v>
      </c>
      <c r="C16" s="18" t="n">
        <f aca="false">(C10+C11+C12+C13+C14)*3</f>
        <v>1800</v>
      </c>
      <c r="D16" s="18" t="n">
        <f aca="false">(D10+D11+D12+D13+D14)*3</f>
        <v>18000</v>
      </c>
      <c r="E16" s="18" t="n">
        <f aca="false">(E10+E11+E12+E13+E14)*3</f>
        <v>54900</v>
      </c>
      <c r="F16" s="18" t="n">
        <f aca="false">(F10+F11+F12+F13+F14)*3</f>
        <v>81000</v>
      </c>
      <c r="G16" s="18" t="n">
        <f aca="false">(G10+G11+G12+G13+G14)*3</f>
        <v>82800</v>
      </c>
      <c r="H16" s="18" t="n">
        <f aca="false">(H10+H11+H12+H13+H14)*3</f>
        <v>88500</v>
      </c>
      <c r="I16" s="18" t="n">
        <f aca="false">(I10+I11+I12+I13+I14)*3</f>
        <v>97500</v>
      </c>
      <c r="J16" s="18" t="n">
        <f aca="false">(J10+J11+J12+J13+J14)*3</f>
        <v>104100</v>
      </c>
      <c r="K16" s="18" t="n">
        <f aca="false">(K10+K11+K12+K13+K14)*3</f>
        <v>107100</v>
      </c>
      <c r="L16" s="18" t="n">
        <f aca="false">(L10+L11+L12+L13+L14)*3</f>
        <v>120000</v>
      </c>
      <c r="M16" s="18" t="n">
        <f aca="false">(M10+M11+M12+M13+M14)*3</f>
        <v>124500</v>
      </c>
      <c r="N16" s="18" t="n">
        <f aca="false">SUM(B16:E16)</f>
        <v>76200</v>
      </c>
      <c r="O16" s="18" t="n">
        <f aca="false">SUM(F16:I16)</f>
        <v>349800</v>
      </c>
      <c r="P16" s="18" t="n">
        <f aca="false">SUM(J16:M16)</f>
        <v>455700</v>
      </c>
    </row>
    <row r="18" customFormat="false" ht="15" hidden="false" customHeight="false" outlineLevel="0" collapsed="false">
      <c r="A18" s="2" t="s">
        <v>68</v>
      </c>
    </row>
    <row r="19" customFormat="false" ht="15" hidden="false" customHeight="false" outlineLevel="0" collapsed="false">
      <c r="A19" s="4" t="s">
        <v>69</v>
      </c>
      <c r="B19" s="17" t="n">
        <f aca="false">'Revenue Projections'!B14</f>
        <v>1140</v>
      </c>
      <c r="C19" s="17" t="n">
        <f aca="false">'Revenue Projections'!C14</f>
        <v>4218</v>
      </c>
      <c r="D19" s="17" t="n">
        <f aca="false">'Revenue Projections'!D14</f>
        <v>12198</v>
      </c>
      <c r="E19" s="17" t="n">
        <f aca="false">'Revenue Projections'!E14</f>
        <v>27702</v>
      </c>
      <c r="F19" s="17" t="n">
        <f aca="false">'Revenue Projections'!F14</f>
        <v>56487</v>
      </c>
      <c r="G19" s="17" t="n">
        <f aca="false">'Revenue Projections'!G14</f>
        <v>103911</v>
      </c>
      <c r="H19" s="17" t="n">
        <f aca="false">'Revenue Projections'!H14</f>
        <v>178923</v>
      </c>
      <c r="I19" s="17" t="n">
        <f aca="false">'Revenue Projections'!I14</f>
        <v>290187</v>
      </c>
      <c r="J19" s="17" t="n">
        <f aca="false">'Revenue Projections'!J14</f>
        <v>435138</v>
      </c>
      <c r="K19" s="17" t="n">
        <f aca="false">'Revenue Projections'!K14</f>
        <v>612978</v>
      </c>
      <c r="L19" s="17" t="n">
        <f aca="false">'Revenue Projections'!L14</f>
        <v>815955</v>
      </c>
      <c r="M19" s="17" t="n">
        <f aca="false">'Revenue Projections'!M14</f>
        <v>1075248</v>
      </c>
      <c r="N19" s="17" t="n">
        <f aca="false">'Revenue Projections'!N14</f>
        <v>45258</v>
      </c>
      <c r="O19" s="17" t="n">
        <f aca="false">'Revenue Projections'!O14</f>
        <v>629508</v>
      </c>
      <c r="P19" s="17" t="n">
        <f aca="false">'Revenue Projections'!P14</f>
        <v>2939319</v>
      </c>
    </row>
    <row r="20" customFormat="false" ht="15" hidden="false" customHeight="false" outlineLevel="0" collapsed="false">
      <c r="A20" s="4" t="s">
        <v>70</v>
      </c>
      <c r="B20" s="17" t="n">
        <f aca="false">'Revenue Projections'!B18</f>
        <v>408.3</v>
      </c>
      <c r="C20" s="17" t="n">
        <f aca="false">'Revenue Projections'!C18</f>
        <v>1502.544</v>
      </c>
      <c r="D20" s="17" t="n">
        <f aca="false">'Revenue Projections'!D18</f>
        <v>4360.644</v>
      </c>
      <c r="E20" s="17" t="n">
        <f aca="false">'Revenue Projections'!E18</f>
        <v>9929.856</v>
      </c>
      <c r="F20" s="17" t="n">
        <f aca="false">'Revenue Projections'!F18</f>
        <v>20235.348</v>
      </c>
      <c r="G20" s="17" t="n">
        <f aca="false">'Revenue Projections'!G18</f>
        <v>37220.628</v>
      </c>
      <c r="H20" s="17" t="n">
        <f aca="false">'Revenue Projections'!H18</f>
        <v>64078.602</v>
      </c>
      <c r="I20" s="17" t="n">
        <f aca="false">'Revenue Projections'!I18</f>
        <v>103936.848</v>
      </c>
      <c r="J20" s="17" t="n">
        <f aca="false">'Revenue Projections'!J18</f>
        <v>155856.276</v>
      </c>
      <c r="K20" s="17" t="n">
        <f aca="false">'Revenue Projections'!K18</f>
        <v>219551.076</v>
      </c>
      <c r="L20" s="17" t="n">
        <f aca="false">'Revenue Projections'!L18</f>
        <v>292236.642</v>
      </c>
      <c r="M20" s="17" t="n">
        <f aca="false">'Revenue Projections'!M18</f>
        <v>385100.394</v>
      </c>
      <c r="N20" s="17" t="n">
        <f aca="false">'Revenue Projections'!N18</f>
        <v>16201.344</v>
      </c>
      <c r="O20" s="17" t="n">
        <f aca="false">'Revenue Projections'!O18</f>
        <v>225471.426</v>
      </c>
      <c r="P20" s="17" t="n">
        <f aca="false">'Revenue Projections'!P18</f>
        <v>1052744.388</v>
      </c>
    </row>
    <row r="21" customFormat="false" ht="15" hidden="false" customHeight="false" outlineLevel="0" collapsed="false">
      <c r="A21" s="6" t="s">
        <v>71</v>
      </c>
      <c r="B21" s="18" t="n">
        <f aca="false">B16+B20</f>
        <v>1908.3</v>
      </c>
      <c r="C21" s="18" t="n">
        <f aca="false">C16+C20</f>
        <v>3302.544</v>
      </c>
      <c r="D21" s="18" t="n">
        <f aca="false">D16+D20</f>
        <v>22360.644</v>
      </c>
      <c r="E21" s="18" t="n">
        <f aca="false">E16+E20</f>
        <v>64829.856</v>
      </c>
      <c r="F21" s="18" t="n">
        <f aca="false">F16+F20</f>
        <v>101235.348</v>
      </c>
      <c r="G21" s="18" t="n">
        <f aca="false">G16+G20</f>
        <v>120020.628</v>
      </c>
      <c r="H21" s="18" t="n">
        <f aca="false">H16+H20</f>
        <v>152578.602</v>
      </c>
      <c r="I21" s="18" t="n">
        <f aca="false">I16+I20</f>
        <v>201436.848</v>
      </c>
      <c r="J21" s="18" t="n">
        <f aca="false">J16+J20</f>
        <v>259956.276</v>
      </c>
      <c r="K21" s="18" t="n">
        <f aca="false">K16+K20</f>
        <v>326651.076</v>
      </c>
      <c r="L21" s="18" t="n">
        <f aca="false">L16+L20</f>
        <v>412236.642</v>
      </c>
      <c r="M21" s="18" t="n">
        <f aca="false">M16+M20</f>
        <v>509600.394</v>
      </c>
      <c r="N21" s="18" t="n">
        <f aca="false">N16+N20</f>
        <v>92401.344</v>
      </c>
      <c r="O21" s="18" t="n">
        <f aca="false">O16+O20</f>
        <v>575271.426</v>
      </c>
      <c r="P21" s="18" t="n">
        <f aca="false">P16+P20</f>
        <v>1508444.388</v>
      </c>
    </row>
    <row r="22" customFormat="false" ht="15" hidden="false" customHeight="false" outlineLevel="0" collapsed="false">
      <c r="A22" s="6" t="s">
        <v>72</v>
      </c>
      <c r="B22" s="18" t="n">
        <f aca="false">B19-B21</f>
        <v>-768.3</v>
      </c>
      <c r="C22" s="18" t="n">
        <f aca="false">C19-C21</f>
        <v>915.456</v>
      </c>
      <c r="D22" s="18" t="n">
        <f aca="false">D19-D21</f>
        <v>-10162.644</v>
      </c>
      <c r="E22" s="18" t="n">
        <f aca="false">E19-E21</f>
        <v>-37127.856</v>
      </c>
      <c r="F22" s="18" t="n">
        <f aca="false">F19-F21</f>
        <v>-44748.348</v>
      </c>
      <c r="G22" s="18" t="n">
        <f aca="false">G19-G21</f>
        <v>-16109.628</v>
      </c>
      <c r="H22" s="18" t="n">
        <f aca="false">H19-H21</f>
        <v>26344.398</v>
      </c>
      <c r="I22" s="18" t="n">
        <f aca="false">I19-I21</f>
        <v>88750.152</v>
      </c>
      <c r="J22" s="18" t="n">
        <f aca="false">J19-J21</f>
        <v>175181.724</v>
      </c>
      <c r="K22" s="18" t="n">
        <f aca="false">K19-K21</f>
        <v>286326.924</v>
      </c>
      <c r="L22" s="18" t="n">
        <f aca="false">L19-L21</f>
        <v>403718.358</v>
      </c>
      <c r="M22" s="18" t="n">
        <f aca="false">M19-M21</f>
        <v>565647.606</v>
      </c>
      <c r="N22" s="18" t="n">
        <f aca="false">N19-N21</f>
        <v>-47143.344</v>
      </c>
      <c r="O22" s="18" t="n">
        <f aca="false">O19-O21</f>
        <v>54236.574</v>
      </c>
      <c r="P22" s="18" t="n">
        <f aca="false">P19-P21</f>
        <v>1430874.612</v>
      </c>
    </row>
    <row r="24" customFormat="false" ht="15" hidden="false" customHeight="false" outlineLevel="0" collapsed="false">
      <c r="A24" s="6" t="s">
        <v>73</v>
      </c>
      <c r="B24" s="18" t="n">
        <f aca="false">B4+B22</f>
        <v>499231.7</v>
      </c>
      <c r="C24" s="18" t="n">
        <f aca="false">B24+C22</f>
        <v>500147.156</v>
      </c>
      <c r="D24" s="18" t="n">
        <f aca="false">C24+D22</f>
        <v>489984.512</v>
      </c>
      <c r="E24" s="18" t="n">
        <f aca="false">D24+E22</f>
        <v>452856.656</v>
      </c>
      <c r="F24" s="18" t="n">
        <f aca="false">E24+F22</f>
        <v>408108.308</v>
      </c>
      <c r="G24" s="18" t="n">
        <f aca="false">F24+G22</f>
        <v>391998.68</v>
      </c>
      <c r="H24" s="18" t="n">
        <f aca="false">G24+H22</f>
        <v>418343.078</v>
      </c>
      <c r="I24" s="18" t="n">
        <f aca="false">H24+I22</f>
        <v>507093.23</v>
      </c>
      <c r="J24" s="18" t="n">
        <f aca="false">I24+J22</f>
        <v>682274.954</v>
      </c>
      <c r="K24" s="18" t="n">
        <f aca="false">J24+K22</f>
        <v>968601.878</v>
      </c>
      <c r="L24" s="18" t="n">
        <f aca="false">K24+L22</f>
        <v>1372320.236</v>
      </c>
      <c r="M24" s="18" t="n">
        <f aca="false">L24+M22</f>
        <v>1937967.842</v>
      </c>
    </row>
    <row r="25" customFormat="false" ht="15" hidden="false" customHeight="false" outlineLevel="0" collapsed="false">
      <c r="A25" s="4" t="s">
        <v>74</v>
      </c>
      <c r="B25" s="20" t="n">
        <f aca="false">IF(B22&gt;=0,"∞",B24/(-B22/3))</f>
        <v>1949.36235845373</v>
      </c>
      <c r="C25" s="20" t="str">
        <f aca="false">IF(C22&gt;=0,"∞",C24/(-C22/3))</f>
        <v>∞</v>
      </c>
      <c r="D25" s="20" t="n">
        <f aca="false">IF(D22&gt;=0,"∞",D24/(-D22/3))</f>
        <v>144.642824839678</v>
      </c>
      <c r="E25" s="20" t="n">
        <f aca="false">IF(E22&gt;=0,"∞",E24/(-E22/3))</f>
        <v>36.5916622818188</v>
      </c>
      <c r="F25" s="20" t="n">
        <f aca="false">IF(F22&gt;=0,"∞",F24/(-F22/3))</f>
        <v>27.3602262143845</v>
      </c>
      <c r="G25" s="20" t="n">
        <f aca="false">IF(G22&gt;=0,"∞",G24/(-G22/3))</f>
        <v>72.9995776438786</v>
      </c>
      <c r="H25" s="20" t="str">
        <f aca="false">IF(H22&gt;=0,"∞",H24/(-H22/3))</f>
        <v>∞</v>
      </c>
      <c r="I25" s="20" t="str">
        <f aca="false">IF(I22&gt;=0,"∞",I24/(-I22/3))</f>
        <v>∞</v>
      </c>
      <c r="J25" s="20" t="str">
        <f aca="false">IF(J22&gt;=0,"∞",J24/(-J22/3))</f>
        <v>∞</v>
      </c>
      <c r="K25" s="20" t="str">
        <f aca="false">IF(K22&gt;=0,"∞",K24/(-K22/3))</f>
        <v>∞</v>
      </c>
      <c r="L25" s="20" t="str">
        <f aca="false">IF(L22&gt;=0,"∞",L24/(-L22/3))</f>
        <v>∞</v>
      </c>
      <c r="M25" s="20" t="str">
        <f aca="false">IF(M22&gt;=0,"∞",M24/(-M22/3))</f>
        <v>∞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75</v>
      </c>
    </row>
    <row r="3" customFormat="false" ht="15" hidden="false" customHeight="false" outlineLevel="0" collapsed="false">
      <c r="A3" s="2" t="s">
        <v>76</v>
      </c>
    </row>
    <row r="4" customFormat="false" ht="15" hidden="false" customHeight="false" outlineLevel="0" collapsed="false">
      <c r="A4" s="3" t="s">
        <v>27</v>
      </c>
      <c r="B4" s="3" t="s">
        <v>77</v>
      </c>
      <c r="C4" s="3" t="s">
        <v>78</v>
      </c>
      <c r="D4" s="3" t="s">
        <v>79</v>
      </c>
    </row>
    <row r="5" customFormat="false" ht="15" hidden="false" customHeight="false" outlineLevel="0" collapsed="false">
      <c r="A5" s="4" t="s">
        <v>80</v>
      </c>
      <c r="B5" s="21" t="s">
        <v>81</v>
      </c>
      <c r="C5" s="12" t="s">
        <v>82</v>
      </c>
      <c r="D5" s="12" t="s">
        <v>83</v>
      </c>
    </row>
    <row r="6" customFormat="false" ht="15" hidden="false" customHeight="false" outlineLevel="0" collapsed="false">
      <c r="A6" s="4" t="s">
        <v>84</v>
      </c>
      <c r="B6" s="21" t="s">
        <v>85</v>
      </c>
      <c r="C6" s="12" t="s">
        <v>82</v>
      </c>
      <c r="D6" s="12" t="s">
        <v>86</v>
      </c>
    </row>
    <row r="7" customFormat="false" ht="15" hidden="false" customHeight="false" outlineLevel="0" collapsed="false">
      <c r="A7" s="4" t="s">
        <v>87</v>
      </c>
      <c r="B7" s="21" t="s">
        <v>88</v>
      </c>
      <c r="C7" s="12" t="s">
        <v>82</v>
      </c>
      <c r="D7" s="12" t="s">
        <v>89</v>
      </c>
    </row>
    <row r="9" customFormat="false" ht="15" hidden="false" customHeight="false" outlineLevel="0" collapsed="false">
      <c r="A9" s="2" t="s">
        <v>90</v>
      </c>
    </row>
    <row r="10" customFormat="false" ht="15" hidden="false" customHeight="false" outlineLevel="0" collapsed="false">
      <c r="A10" s="3" t="s">
        <v>27</v>
      </c>
      <c r="B10" s="3" t="s">
        <v>77</v>
      </c>
      <c r="C10" s="3" t="s">
        <v>78</v>
      </c>
      <c r="D10" s="3" t="s">
        <v>79</v>
      </c>
    </row>
    <row r="11" customFormat="false" ht="15" hidden="false" customHeight="false" outlineLevel="0" collapsed="false">
      <c r="A11" s="4" t="s">
        <v>91</v>
      </c>
      <c r="B11" s="21" t="s">
        <v>92</v>
      </c>
      <c r="C11" s="12" t="s">
        <v>93</v>
      </c>
      <c r="D11" s="12" t="s">
        <v>94</v>
      </c>
    </row>
    <row r="12" customFormat="false" ht="15" hidden="false" customHeight="false" outlineLevel="0" collapsed="false">
      <c r="A12" s="4" t="s">
        <v>95</v>
      </c>
      <c r="B12" s="21" t="s">
        <v>96</v>
      </c>
      <c r="C12" s="12" t="s">
        <v>97</v>
      </c>
      <c r="D12" s="12" t="s">
        <v>94</v>
      </c>
    </row>
    <row r="13" customFormat="false" ht="15" hidden="false" customHeight="false" outlineLevel="0" collapsed="false">
      <c r="A13" s="4" t="s">
        <v>98</v>
      </c>
      <c r="B13" s="21" t="s">
        <v>99</v>
      </c>
      <c r="C13" s="12" t="s">
        <v>100</v>
      </c>
      <c r="D13" s="12" t="s">
        <v>101</v>
      </c>
    </row>
    <row r="14" customFormat="false" ht="15" hidden="false" customHeight="false" outlineLevel="0" collapsed="false">
      <c r="A14" s="4" t="s">
        <v>102</v>
      </c>
      <c r="B14" s="21" t="s">
        <v>103</v>
      </c>
      <c r="C14" s="12" t="s">
        <v>104</v>
      </c>
      <c r="D14" s="12" t="s">
        <v>105</v>
      </c>
    </row>
    <row r="15" customFormat="false" ht="15" hidden="false" customHeight="false" outlineLevel="0" collapsed="false">
      <c r="A15" s="4" t="s">
        <v>106</v>
      </c>
      <c r="B15" s="21" t="s">
        <v>107</v>
      </c>
      <c r="C15" s="12" t="s">
        <v>108</v>
      </c>
      <c r="D15" s="12" t="s">
        <v>101</v>
      </c>
    </row>
    <row r="16" customFormat="false" ht="15" hidden="false" customHeight="false" outlineLevel="0" collapsed="false">
      <c r="A16" s="4" t="s">
        <v>109</v>
      </c>
      <c r="B16" s="21" t="s">
        <v>110</v>
      </c>
      <c r="C16" s="12" t="s">
        <v>111</v>
      </c>
      <c r="D16" s="12" t="s">
        <v>101</v>
      </c>
    </row>
    <row r="18" customFormat="false" ht="15" hidden="false" customHeight="false" outlineLevel="0" collapsed="false">
      <c r="A18" s="2" t="s">
        <v>112</v>
      </c>
    </row>
    <row r="19" customFormat="false" ht="15" hidden="false" customHeight="false" outlineLevel="0" collapsed="false">
      <c r="A19" s="3" t="s">
        <v>27</v>
      </c>
      <c r="B19" s="3" t="s">
        <v>77</v>
      </c>
      <c r="C19" s="3" t="s">
        <v>78</v>
      </c>
      <c r="D19" s="3" t="s">
        <v>79</v>
      </c>
    </row>
    <row r="20" customFormat="false" ht="15" hidden="false" customHeight="false" outlineLevel="0" collapsed="false">
      <c r="A20" s="4" t="s">
        <v>113</v>
      </c>
      <c r="B20" s="21" t="s">
        <v>114</v>
      </c>
      <c r="C20" s="12" t="s">
        <v>115</v>
      </c>
      <c r="D20" s="12" t="s">
        <v>94</v>
      </c>
    </row>
    <row r="21" customFormat="false" ht="15" hidden="false" customHeight="false" outlineLevel="0" collapsed="false">
      <c r="A21" s="4" t="s">
        <v>116</v>
      </c>
      <c r="B21" s="21" t="s">
        <v>117</v>
      </c>
      <c r="C21" s="12" t="s">
        <v>118</v>
      </c>
      <c r="D21" s="12" t="s">
        <v>119</v>
      </c>
    </row>
    <row r="22" customFormat="false" ht="15" hidden="false" customHeight="false" outlineLevel="0" collapsed="false">
      <c r="A22" s="4" t="s">
        <v>120</v>
      </c>
      <c r="B22" s="21" t="s">
        <v>121</v>
      </c>
      <c r="C22" s="12" t="s">
        <v>122</v>
      </c>
      <c r="D22" s="12" t="s">
        <v>101</v>
      </c>
    </row>
    <row r="23" customFormat="false" ht="15" hidden="false" customHeight="false" outlineLevel="0" collapsed="false">
      <c r="A23" s="4" t="s">
        <v>123</v>
      </c>
      <c r="B23" s="21" t="s">
        <v>124</v>
      </c>
      <c r="C23" s="12" t="s">
        <v>104</v>
      </c>
      <c r="D23" s="12" t="s">
        <v>105</v>
      </c>
    </row>
    <row r="24" customFormat="false" ht="15" hidden="false" customHeight="false" outlineLevel="0" collapsed="false">
      <c r="A24" s="4" t="s">
        <v>125</v>
      </c>
      <c r="B24" s="21" t="s">
        <v>126</v>
      </c>
      <c r="C24" s="12" t="s">
        <v>127</v>
      </c>
      <c r="D24" s="12" t="s">
        <v>101</v>
      </c>
    </row>
    <row r="26" customFormat="false" ht="15" hidden="false" customHeight="false" outlineLevel="0" collapsed="false">
      <c r="A26" s="2" t="s">
        <v>128</v>
      </c>
    </row>
    <row r="27" customFormat="false" ht="23.85" hidden="false" customHeight="false" outlineLevel="0" collapsed="false">
      <c r="A27" s="3" t="s">
        <v>129</v>
      </c>
      <c r="B27" s="3" t="s">
        <v>130</v>
      </c>
      <c r="C27" s="3" t="s">
        <v>131</v>
      </c>
      <c r="D27" s="3" t="s">
        <v>132</v>
      </c>
    </row>
    <row r="28" customFormat="false" ht="15" hidden="false" customHeight="false" outlineLevel="0" collapsed="false">
      <c r="A28" s="6" t="s">
        <v>133</v>
      </c>
      <c r="B28" s="4" t="s">
        <v>134</v>
      </c>
      <c r="C28" s="4" t="s">
        <v>135</v>
      </c>
      <c r="D28" s="12" t="s">
        <v>136</v>
      </c>
    </row>
    <row r="29" customFormat="false" ht="15" hidden="false" customHeight="false" outlineLevel="0" collapsed="false">
      <c r="A29" s="6" t="s">
        <v>137</v>
      </c>
      <c r="B29" s="4" t="s">
        <v>138</v>
      </c>
      <c r="C29" s="4" t="s">
        <v>139</v>
      </c>
      <c r="D29" s="12" t="s">
        <v>140</v>
      </c>
    </row>
    <row r="30" customFormat="false" ht="15" hidden="false" customHeight="false" outlineLevel="0" collapsed="false">
      <c r="A30" s="6" t="s">
        <v>141</v>
      </c>
      <c r="B30" s="4" t="s">
        <v>142</v>
      </c>
      <c r="C30" s="4" t="s">
        <v>143</v>
      </c>
      <c r="D30" s="12" t="s">
        <v>144</v>
      </c>
    </row>
    <row r="31" customFormat="false" ht="15" hidden="false" customHeight="false" outlineLevel="0" collapsed="false">
      <c r="A31" s="6" t="s">
        <v>145</v>
      </c>
      <c r="B31" s="4" t="s">
        <v>146</v>
      </c>
      <c r="C31" s="4" t="s">
        <v>147</v>
      </c>
      <c r="D31" s="12" t="s">
        <v>148</v>
      </c>
    </row>
    <row r="32" customFormat="false" ht="15" hidden="false" customHeight="false" outlineLevel="0" collapsed="false">
      <c r="A32" s="6" t="s">
        <v>149</v>
      </c>
      <c r="B32" s="4" t="s">
        <v>150</v>
      </c>
      <c r="C32" s="4" t="s">
        <v>151</v>
      </c>
      <c r="D32" s="12" t="s">
        <v>152</v>
      </c>
    </row>
    <row r="33" customFormat="false" ht="15" hidden="false" customHeight="false" outlineLevel="0" collapsed="false">
      <c r="A33" s="6" t="s">
        <v>153</v>
      </c>
      <c r="B33" s="4" t="s">
        <v>154</v>
      </c>
      <c r="C33" s="4" t="s">
        <v>151</v>
      </c>
      <c r="D33" s="1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22"/>
    <col collapsed="false" customWidth="true" hidden="false" outlineLevel="0" max="8" min="8" style="0" width="24"/>
  </cols>
  <sheetData>
    <row r="1" customFormat="false" ht="16.1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12" t="s">
        <v>157</v>
      </c>
    </row>
    <row r="4" customFormat="false" ht="15" hidden="false" customHeight="false" outlineLevel="0" collapsed="false">
      <c r="A4" s="2" t="s">
        <v>158</v>
      </c>
    </row>
    <row r="5" customFormat="false" ht="15" hidden="false" customHeight="false" outlineLevel="0" collapsed="false">
      <c r="A5" s="3" t="s">
        <v>159</v>
      </c>
      <c r="B5" s="3" t="s">
        <v>160</v>
      </c>
      <c r="C5" s="3" t="s">
        <v>161</v>
      </c>
      <c r="D5" s="3" t="s">
        <v>162</v>
      </c>
      <c r="E5" s="3" t="s">
        <v>163</v>
      </c>
      <c r="F5" s="3" t="s">
        <v>164</v>
      </c>
      <c r="G5" s="3" t="s">
        <v>165</v>
      </c>
      <c r="H5" s="3" t="s">
        <v>166</v>
      </c>
    </row>
    <row r="6" customFormat="false" ht="15" hidden="false" customHeight="false" outlineLevel="0" collapsed="false">
      <c r="A6" s="22" t="s">
        <v>167</v>
      </c>
      <c r="B6" s="23" t="s">
        <v>168</v>
      </c>
      <c r="C6" s="23" t="s">
        <v>169</v>
      </c>
      <c r="D6" s="23" t="s">
        <v>170</v>
      </c>
      <c r="E6" s="23" t="s">
        <v>171</v>
      </c>
      <c r="F6" s="23" t="s">
        <v>172</v>
      </c>
      <c r="G6" s="23" t="s">
        <v>173</v>
      </c>
      <c r="H6" s="23" t="s">
        <v>174</v>
      </c>
    </row>
    <row r="7" customFormat="false" ht="15" hidden="false" customHeight="false" outlineLevel="0" collapsed="false">
      <c r="A7" s="22" t="s">
        <v>175</v>
      </c>
      <c r="B7" s="23" t="s">
        <v>176</v>
      </c>
      <c r="C7" s="23" t="s">
        <v>177</v>
      </c>
      <c r="D7" s="23" t="s">
        <v>178</v>
      </c>
      <c r="E7" s="23" t="s">
        <v>179</v>
      </c>
      <c r="F7" s="23" t="s">
        <v>180</v>
      </c>
      <c r="G7" s="23" t="s">
        <v>181</v>
      </c>
      <c r="H7" s="23" t="s">
        <v>182</v>
      </c>
    </row>
    <row r="8" customFormat="false" ht="15" hidden="false" customHeight="false" outlineLevel="0" collapsed="false">
      <c r="A8" s="22" t="s">
        <v>183</v>
      </c>
      <c r="B8" s="23" t="s">
        <v>184</v>
      </c>
      <c r="C8" s="23" t="s">
        <v>185</v>
      </c>
      <c r="D8" s="23" t="s">
        <v>186</v>
      </c>
      <c r="E8" s="23" t="s">
        <v>187</v>
      </c>
      <c r="F8" s="23" t="s">
        <v>188</v>
      </c>
      <c r="G8" s="23" t="s">
        <v>189</v>
      </c>
      <c r="H8" s="23" t="s">
        <v>190</v>
      </c>
    </row>
    <row r="9" customFormat="false" ht="15" hidden="false" customHeight="false" outlineLevel="0" collapsed="false">
      <c r="A9" s="22" t="s">
        <v>191</v>
      </c>
      <c r="B9" s="23" t="s">
        <v>192</v>
      </c>
      <c r="C9" s="23" t="s">
        <v>193</v>
      </c>
      <c r="D9" s="23" t="s">
        <v>194</v>
      </c>
      <c r="E9" s="23" t="s">
        <v>195</v>
      </c>
      <c r="F9" s="23" t="s">
        <v>196</v>
      </c>
      <c r="G9" s="23" t="s">
        <v>197</v>
      </c>
      <c r="H9" s="23" t="s">
        <v>198</v>
      </c>
    </row>
    <row r="10" customFormat="false" ht="15" hidden="false" customHeight="false" outlineLevel="0" collapsed="false">
      <c r="A10" s="22" t="s">
        <v>199</v>
      </c>
      <c r="B10" s="23" t="s">
        <v>200</v>
      </c>
      <c r="C10" s="23" t="s">
        <v>201</v>
      </c>
      <c r="D10" s="23" t="s">
        <v>202</v>
      </c>
      <c r="E10" s="23" t="s">
        <v>203</v>
      </c>
      <c r="F10" s="23" t="s">
        <v>204</v>
      </c>
      <c r="G10" s="23" t="s">
        <v>201</v>
      </c>
      <c r="H10" s="23" t="s">
        <v>205</v>
      </c>
    </row>
    <row r="13" customFormat="false" ht="15" hidden="false" customHeight="false" outlineLevel="0" collapsed="false">
      <c r="A13" s="2" t="s">
        <v>206</v>
      </c>
    </row>
    <row r="14" customFormat="false" ht="15" hidden="false" customHeight="false" outlineLevel="0" collapsed="false">
      <c r="A14" s="3" t="s">
        <v>131</v>
      </c>
      <c r="B14" s="3" t="s">
        <v>207</v>
      </c>
      <c r="C14" s="3" t="s">
        <v>208</v>
      </c>
      <c r="D14" s="3" t="s">
        <v>209</v>
      </c>
    </row>
    <row r="15" customFormat="false" ht="15" hidden="false" customHeight="false" outlineLevel="0" collapsed="false">
      <c r="A15" s="4" t="s">
        <v>210</v>
      </c>
      <c r="B15" s="8" t="n">
        <v>90000</v>
      </c>
      <c r="C15" s="10" t="n">
        <f aca="false">B15/B22</f>
        <v>0.18</v>
      </c>
      <c r="D15" s="12" t="s">
        <v>211</v>
      </c>
    </row>
    <row r="16" customFormat="false" ht="15" hidden="false" customHeight="false" outlineLevel="0" collapsed="false">
      <c r="A16" s="4" t="s">
        <v>212</v>
      </c>
      <c r="B16" s="8" t="n">
        <v>156000</v>
      </c>
      <c r="C16" s="10" t="n">
        <f aca="false">B16/B22</f>
        <v>0.312</v>
      </c>
      <c r="D16" s="12" t="s">
        <v>213</v>
      </c>
    </row>
    <row r="17" customFormat="false" ht="15" hidden="false" customHeight="false" outlineLevel="0" collapsed="false">
      <c r="A17" s="4" t="s">
        <v>214</v>
      </c>
      <c r="B17" s="8" t="n">
        <v>90000</v>
      </c>
      <c r="C17" s="10" t="n">
        <f aca="false">B17/B22</f>
        <v>0.18</v>
      </c>
      <c r="D17" s="12" t="s">
        <v>215</v>
      </c>
    </row>
    <row r="18" customFormat="false" ht="15" hidden="false" customHeight="false" outlineLevel="0" collapsed="false">
      <c r="A18" s="4" t="s">
        <v>65</v>
      </c>
      <c r="B18" s="8" t="n">
        <v>36000</v>
      </c>
      <c r="C18" s="10" t="n">
        <f aca="false">B18/B22</f>
        <v>0.072</v>
      </c>
      <c r="D18" s="12" t="s">
        <v>216</v>
      </c>
    </row>
    <row r="19" customFormat="false" ht="15" hidden="false" customHeight="false" outlineLevel="0" collapsed="false">
      <c r="A19" s="4" t="s">
        <v>217</v>
      </c>
      <c r="B19" s="8" t="n">
        <v>15000</v>
      </c>
      <c r="C19" s="10" t="n">
        <f aca="false">B19/B22</f>
        <v>0.03</v>
      </c>
      <c r="D19" s="12" t="s">
        <v>218</v>
      </c>
    </row>
    <row r="20" customFormat="false" ht="15" hidden="false" customHeight="false" outlineLevel="0" collapsed="false">
      <c r="A20" s="4" t="s">
        <v>219</v>
      </c>
      <c r="B20" s="8" t="n">
        <v>12000</v>
      </c>
      <c r="C20" s="10" t="n">
        <f aca="false">B20/B22</f>
        <v>0.024</v>
      </c>
      <c r="D20" s="12" t="s">
        <v>220</v>
      </c>
    </row>
    <row r="21" customFormat="false" ht="15" hidden="false" customHeight="false" outlineLevel="0" collapsed="false">
      <c r="A21" s="4" t="s">
        <v>221</v>
      </c>
      <c r="B21" s="18" t="n">
        <f aca="false">B22-SUM(B15:B20)</f>
        <v>101000</v>
      </c>
      <c r="C21" s="10" t="n">
        <f aca="false">B21/B22</f>
        <v>0.202</v>
      </c>
      <c r="D21" s="12" t="s">
        <v>222</v>
      </c>
    </row>
    <row r="22" customFormat="false" ht="15" hidden="false" customHeight="false" outlineLevel="0" collapsed="false">
      <c r="A22" s="6" t="s">
        <v>223</v>
      </c>
      <c r="B22" s="19" t="n">
        <v>500000</v>
      </c>
      <c r="C22" s="10" t="n">
        <v>1</v>
      </c>
    </row>
    <row r="24" customFormat="false" ht="15" hidden="false" customHeight="false" outlineLevel="0" collapsed="false">
      <c r="A24" s="2" t="s">
        <v>224</v>
      </c>
    </row>
    <row r="25" customFormat="false" ht="15" hidden="false" customHeight="false" outlineLevel="0" collapsed="false">
      <c r="A25" s="3" t="s">
        <v>225</v>
      </c>
      <c r="B25" s="3" t="s">
        <v>226</v>
      </c>
      <c r="C25" s="3" t="s">
        <v>166</v>
      </c>
    </row>
    <row r="26" customFormat="false" ht="15" hidden="false" customHeight="false" outlineLevel="0" collapsed="false">
      <c r="A26" s="6" t="s">
        <v>227</v>
      </c>
      <c r="B26" s="4" t="s">
        <v>228</v>
      </c>
      <c r="C26" s="4" t="s">
        <v>229</v>
      </c>
    </row>
    <row r="27" customFormat="false" ht="15" hidden="false" customHeight="false" outlineLevel="0" collapsed="false">
      <c r="A27" s="6" t="s">
        <v>230</v>
      </c>
      <c r="B27" s="4" t="s">
        <v>231</v>
      </c>
      <c r="C27" s="4" t="s">
        <v>232</v>
      </c>
    </row>
    <row r="28" customFormat="false" ht="15" hidden="false" customHeight="false" outlineLevel="0" collapsed="false">
      <c r="A28" s="6" t="s">
        <v>233</v>
      </c>
      <c r="B28" s="4" t="s">
        <v>234</v>
      </c>
      <c r="C28" s="4" t="s">
        <v>235</v>
      </c>
    </row>
    <row r="29" customFormat="false" ht="15" hidden="false" customHeight="false" outlineLevel="0" collapsed="false">
      <c r="A29" s="6" t="s">
        <v>236</v>
      </c>
      <c r="B29" s="4" t="s">
        <v>237</v>
      </c>
      <c r="C29" s="4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2026-03-11T00:19:28Z</dcterms:created>
  <dc:creator>openpyxl</dc:creator>
  <dc:description/>
  <dc:language>en-US</dc:language>
  <cp:lastModifiedBy/>
  <dcterms:modified xsi:type="dcterms:W3CDTF">2026-03-11T00:19:28Z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